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powersystem/source/"/>
    </mc:Choice>
  </mc:AlternateContent>
  <xr:revisionPtr revIDLastSave="0" documentId="13_ncr:1_{4AAC6B82-F5EE-B340-ACF9-152615FCD597}" xr6:coauthVersionLast="47" xr6:coauthVersionMax="47" xr10:uidLastSave="{00000000-0000-0000-0000-000000000000}"/>
  <bookViews>
    <workbookView xWindow="20" yWindow="600" windowWidth="34400" windowHeight="26400" xr2:uid="{58CC1EC8-AF12-405E-AB46-36AA2C32D04F}"/>
  </bookViews>
  <sheets>
    <sheet name="UFLS" sheetId="3" r:id="rId1"/>
  </sheets>
  <definedNames>
    <definedName name="_xlnm._FilterDatabase" localSheetId="0" hidden="1">UFLS!$A$2:$K$202</definedName>
    <definedName name="_xlnm.Print_Titles" localSheetId="0">UFLS!$1:$2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3" l="1"/>
  <c r="A139" i="3"/>
  <c r="A119" i="3"/>
  <c r="A101" i="3"/>
  <c r="A87" i="3"/>
  <c r="A74" i="3"/>
  <c r="A57" i="3"/>
  <c r="A38" i="3"/>
  <c r="A17" i="3"/>
  <c r="A3" i="3"/>
  <c r="A167" i="3" l="1"/>
  <c r="A192" i="3" l="1"/>
  <c r="A181" i="3"/>
</calcChain>
</file>

<file path=xl/sharedStrings.xml><?xml version="1.0" encoding="utf-8"?>
<sst xmlns="http://schemas.openxmlformats.org/spreadsheetml/2006/main" count="1332" uniqueCount="486">
  <si>
    <t>Substation</t>
  </si>
  <si>
    <t>Assigned Feeders</t>
  </si>
  <si>
    <t>CB</t>
  </si>
  <si>
    <t>Freq1</t>
  </si>
  <si>
    <t>Freq2</t>
  </si>
  <si>
    <t>Delay1 (s)</t>
  </si>
  <si>
    <t>Delay2 (s)</t>
  </si>
  <si>
    <t>Gebeng Industri</t>
  </si>
  <si>
    <t>GBID</t>
  </si>
  <si>
    <t>Olak Lempit</t>
  </si>
  <si>
    <t>OLPT</t>
  </si>
  <si>
    <t>Tanjung Langsat</t>
  </si>
  <si>
    <t>TLST</t>
  </si>
  <si>
    <t>Pasir Gudang Darat</t>
  </si>
  <si>
    <t>PGDT</t>
  </si>
  <si>
    <t>Tanjung Gelang</t>
  </si>
  <si>
    <t>TGLN</t>
  </si>
  <si>
    <t>Tanjung Langsat Industrial Estate</t>
  </si>
  <si>
    <t>TLIE</t>
  </si>
  <si>
    <t>Bukit Raja GIS</t>
  </si>
  <si>
    <t>BRGS</t>
  </si>
  <si>
    <t>Pasir Gudang Ind Est</t>
  </si>
  <si>
    <t>PGIE</t>
  </si>
  <si>
    <t>Bukit Tengah</t>
  </si>
  <si>
    <t>BTGH</t>
  </si>
  <si>
    <t>Prai Industrial</t>
  </si>
  <si>
    <t>PRID</t>
  </si>
  <si>
    <t>SKS Prai</t>
  </si>
  <si>
    <t>SKSP</t>
  </si>
  <si>
    <t>n/a</t>
  </si>
  <si>
    <t>105 &amp; 405</t>
  </si>
  <si>
    <t>L75 &amp; L85</t>
  </si>
  <si>
    <t>905 &amp; 1005</t>
  </si>
  <si>
    <t>505 &amp; 605</t>
  </si>
  <si>
    <t>L15 &amp; L25</t>
  </si>
  <si>
    <t>11130, 11230, 11330</t>
  </si>
  <si>
    <t>7130, 7230</t>
  </si>
  <si>
    <t>805 &amp; 905</t>
  </si>
  <si>
    <t>105 &amp; 205</t>
  </si>
  <si>
    <t>Selangor</t>
  </si>
  <si>
    <t>KSTL 1 &amp; 2</t>
  </si>
  <si>
    <t>MGST 1 &amp; 2</t>
  </si>
  <si>
    <t>JDSI 1 &amp; 2</t>
  </si>
  <si>
    <t>BSTL 1 &amp; 2</t>
  </si>
  <si>
    <t>ASMB 1 &amp; 2</t>
  </si>
  <si>
    <t xml:space="preserve">MSWK </t>
  </si>
  <si>
    <t xml:space="preserve">ASTM 1 &amp; 2 </t>
  </si>
  <si>
    <t>SRON &amp; SRNW</t>
  </si>
  <si>
    <t>SRON 2</t>
  </si>
  <si>
    <t>MWTA 1 &amp; 2</t>
  </si>
  <si>
    <t>Cahaya Baru</t>
  </si>
  <si>
    <t>CBRU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</si>
  <si>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</si>
  <si>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</si>
  <si>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</si>
  <si>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</si>
  <si>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</si>
  <si>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</si>
  <si>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</si>
  <si>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</si>
  <si>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</si>
  <si>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</si>
  <si>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Pengkalan Industri</t>
  </si>
  <si>
    <t>PKID</t>
  </si>
  <si>
    <t>Suncity GIS</t>
  </si>
  <si>
    <t>SCTY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</si>
  <si>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</si>
  <si>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</si>
  <si>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</si>
  <si>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</si>
  <si>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</si>
  <si>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</si>
  <si>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</si>
  <si>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</si>
  <si>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Tampoi Industries</t>
  </si>
  <si>
    <t>TMPI</t>
  </si>
  <si>
    <t>Pauh</t>
  </si>
  <si>
    <t>PAUH</t>
  </si>
  <si>
    <t>Kinta Valley Resort</t>
  </si>
  <si>
    <t>KVRT</t>
  </si>
  <si>
    <t>Mergong</t>
  </si>
  <si>
    <t>MGON</t>
  </si>
  <si>
    <t>Cheras Jaya</t>
  </si>
  <si>
    <t>CJYA</t>
  </si>
  <si>
    <t>Danau Desa</t>
  </si>
  <si>
    <t>DDSA</t>
  </si>
  <si>
    <t>Menglembu</t>
  </si>
  <si>
    <t>MLBU</t>
  </si>
  <si>
    <t>132/22kV T1 &amp; T2</t>
  </si>
  <si>
    <t>132/33kV T1 &amp; T2</t>
  </si>
  <si>
    <t>132/11kV T1 &amp; T2</t>
  </si>
  <si>
    <t>132/33kV T3 &amp; T4</t>
  </si>
  <si>
    <t xml:space="preserve">132/33kV T3 &amp; T4 </t>
  </si>
  <si>
    <t>1T0 &amp; 2T0</t>
  </si>
  <si>
    <t>1T0 &amp; 2T1</t>
  </si>
  <si>
    <t>31&amp;32</t>
  </si>
  <si>
    <t>31 &amp; 32</t>
  </si>
  <si>
    <t>3T0 &amp; 4T0</t>
  </si>
  <si>
    <t>3T0, 4T0 &amp; 1W0</t>
  </si>
  <si>
    <t>30 &amp; 32</t>
  </si>
  <si>
    <t>1T0 &amp; 2T2</t>
  </si>
  <si>
    <t>Ipoh</t>
  </si>
  <si>
    <t xml:space="preserve">132/33kV T1, T2 &amp; T3 </t>
  </si>
  <si>
    <t xml:space="preserve">1T0 &amp; 2T0 &amp; 3T0 </t>
  </si>
  <si>
    <t>Temoh</t>
  </si>
  <si>
    <t>TMOH</t>
  </si>
  <si>
    <t>Kelebang</t>
  </si>
  <si>
    <t>KLBG</t>
  </si>
  <si>
    <t>New Khantan</t>
  </si>
  <si>
    <t>NKAN</t>
  </si>
  <si>
    <t>Seberang Jaya</t>
  </si>
  <si>
    <t>SJAY</t>
  </si>
  <si>
    <t>Shah Alam South</t>
  </si>
  <si>
    <t>SHAS</t>
  </si>
  <si>
    <t>National University</t>
  </si>
  <si>
    <t>NUNI</t>
  </si>
  <si>
    <t>Plentong</t>
  </si>
  <si>
    <t>PLTG</t>
  </si>
  <si>
    <t>Tebrau</t>
  </si>
  <si>
    <t>TBRU</t>
  </si>
  <si>
    <t>Hicom</t>
  </si>
  <si>
    <t>HCOM</t>
  </si>
  <si>
    <t>Kampung Awah</t>
  </si>
  <si>
    <t>KAWA</t>
  </si>
  <si>
    <t>Tuanku Jaafar (GIS)</t>
  </si>
  <si>
    <t>TJGS</t>
  </si>
  <si>
    <t>Shah Alam East</t>
  </si>
  <si>
    <t>SHAE</t>
  </si>
  <si>
    <t>Tasik</t>
  </si>
  <si>
    <t>TASK</t>
  </si>
  <si>
    <t>Panchor</t>
  </si>
  <si>
    <t>PCOR</t>
  </si>
  <si>
    <t>Johor Tengah</t>
  </si>
  <si>
    <t>JTGH</t>
  </si>
  <si>
    <t>Taman Intan</t>
  </si>
  <si>
    <t>INTN</t>
  </si>
  <si>
    <t>SPPK Cheras</t>
  </si>
  <si>
    <t>SPKC</t>
  </si>
  <si>
    <t>MPSS</t>
  </si>
  <si>
    <t xml:space="preserve">132/33kV T1 &amp; T2 </t>
  </si>
  <si>
    <t>132/33kV T1  &amp; T2</t>
  </si>
  <si>
    <t>132/33kV T3 &amp; T4 &amp; T5</t>
  </si>
  <si>
    <t>SHEL 1 &amp; 2</t>
  </si>
  <si>
    <t>H10 &amp; H20</t>
  </si>
  <si>
    <t>305 &amp; 405</t>
  </si>
  <si>
    <t>3T0&amp;4T0</t>
  </si>
  <si>
    <t>3T0 &amp; 4T0 &amp; 1W0 &amp; 5T0</t>
  </si>
  <si>
    <t xml:space="preserve">3T0 &amp; 4T0 &amp; 5T0 </t>
  </si>
  <si>
    <t>Tanah Merah</t>
  </si>
  <si>
    <t>TMRH</t>
  </si>
  <si>
    <t>Bukit Rajah</t>
  </si>
  <si>
    <t>Serdang Raya</t>
  </si>
  <si>
    <t>SRDR</t>
  </si>
  <si>
    <t>Bandar Indra Mahkota</t>
  </si>
  <si>
    <t>BIMK</t>
  </si>
  <si>
    <t>Malim Jaya</t>
  </si>
  <si>
    <t>MJYA</t>
  </si>
  <si>
    <t>Muar</t>
  </si>
  <si>
    <t>MUAR</t>
  </si>
  <si>
    <t>Port Klang P/S</t>
  </si>
  <si>
    <t>PKLG</t>
  </si>
  <si>
    <t>Bukit Beruntung</t>
  </si>
  <si>
    <t>BBTG</t>
  </si>
  <si>
    <t>Ampang GIS</t>
  </si>
  <si>
    <t>AMPG</t>
  </si>
  <si>
    <t>Air Hitam</t>
  </si>
  <si>
    <t>AHTM</t>
  </si>
  <si>
    <t>Bentong</t>
  </si>
  <si>
    <t>BNTG</t>
  </si>
  <si>
    <t>Prai GIS</t>
  </si>
  <si>
    <t>PRGS</t>
  </si>
  <si>
    <t>Bukit Jalil</t>
  </si>
  <si>
    <t>BJLL</t>
  </si>
  <si>
    <t>Balakong</t>
  </si>
  <si>
    <t>BLKG</t>
  </si>
  <si>
    <t>132/11kV T1  &amp; T2</t>
  </si>
  <si>
    <t>132/11kV T2 &amp; T3</t>
  </si>
  <si>
    <t>TJUG</t>
  </si>
  <si>
    <t>2T0, 3T0 &amp; 4T0</t>
  </si>
  <si>
    <t>1T0&amp;2T0</t>
  </si>
  <si>
    <t xml:space="preserve"> 3T0 &amp; 4T0</t>
  </si>
  <si>
    <t>32 &amp; 33</t>
  </si>
  <si>
    <t>705 &amp; 805</t>
  </si>
  <si>
    <t>IGBK 1 &amp; 2</t>
  </si>
  <si>
    <t>Serdang New</t>
  </si>
  <si>
    <t>SRDN</t>
  </si>
  <si>
    <t>Kota Bharu</t>
  </si>
  <si>
    <t>KBRU</t>
  </si>
  <si>
    <t>PJST</t>
  </si>
  <si>
    <t>Pasir Gudang Town Centre</t>
  </si>
  <si>
    <t>PGTC</t>
  </si>
  <si>
    <t>New SEA Park</t>
  </si>
  <si>
    <t>NSPK</t>
  </si>
  <si>
    <t>New Subang Uda</t>
  </si>
  <si>
    <t>NSDA</t>
  </si>
  <si>
    <t xml:space="preserve">Sendayan </t>
  </si>
  <si>
    <t>SDYN</t>
  </si>
  <si>
    <t>Sri Damansara</t>
  </si>
  <si>
    <t>SDAM</t>
  </si>
  <si>
    <t>Puchong Jaya</t>
  </si>
  <si>
    <t>PCHJ</t>
  </si>
  <si>
    <t>Lukut</t>
  </si>
  <si>
    <t>LKUT</t>
  </si>
  <si>
    <t>Tanjong Gelang</t>
  </si>
  <si>
    <t>132/22kV T3</t>
  </si>
  <si>
    <t>132/11kV T1 &amp; T2 &amp; T3</t>
  </si>
  <si>
    <t>132/33kV T1 &amp; T3 &amp; T5</t>
  </si>
  <si>
    <t>1T0 &amp; 3T0 &amp; 5T0</t>
  </si>
  <si>
    <t>3T0</t>
  </si>
  <si>
    <t>31 &amp; 32 &amp; 33</t>
  </si>
  <si>
    <t>Kota Setar</t>
  </si>
  <si>
    <t>KSTR</t>
  </si>
  <si>
    <t>Kg Chempaka</t>
  </si>
  <si>
    <t>KCPK</t>
  </si>
  <si>
    <t>New Rawang</t>
  </si>
  <si>
    <t>NRWG</t>
  </si>
  <si>
    <t>Bukit Kapar</t>
  </si>
  <si>
    <t>BKPR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</si>
  <si>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</si>
  <si>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</si>
  <si>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</si>
  <si>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</si>
  <si>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</si>
  <si>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</si>
  <si>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</si>
  <si>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</si>
  <si>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</si>
  <si>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</si>
  <si>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Kg. Awah</t>
  </si>
  <si>
    <t>Air terjun</t>
  </si>
  <si>
    <t>ATJN</t>
  </si>
  <si>
    <t>Gurun</t>
  </si>
  <si>
    <t>GRUN</t>
  </si>
  <si>
    <t>Jeniang</t>
  </si>
  <si>
    <t>JENG</t>
  </si>
  <si>
    <t>Temasya</t>
  </si>
  <si>
    <t>TMSY</t>
  </si>
  <si>
    <t>MTNH 1 &amp; 2</t>
  </si>
  <si>
    <t>TKMG 1 &amp; 2</t>
  </si>
  <si>
    <t>TJID 1 &amp; 2</t>
  </si>
  <si>
    <t>Satria &amp; TTJF</t>
  </si>
  <si>
    <t>205 &amp; 405</t>
  </si>
  <si>
    <t>BNTG &amp; RBDR</t>
  </si>
  <si>
    <t>JNKA &amp; JTUT</t>
  </si>
  <si>
    <t>205 &amp; 705</t>
  </si>
  <si>
    <t>TTAN 1 &amp; 2</t>
  </si>
  <si>
    <t>TLTP (Titan Petrochemicals)</t>
  </si>
  <si>
    <t>KRYG 1 &amp; 2</t>
  </si>
  <si>
    <t>132/33kV T2 &amp; T3 &amp; T4</t>
  </si>
  <si>
    <t>Lumut</t>
  </si>
  <si>
    <t>LMUT</t>
  </si>
  <si>
    <t>Bukit Badong</t>
  </si>
  <si>
    <t>BBDG</t>
  </si>
  <si>
    <t>Batu Caves</t>
  </si>
  <si>
    <t>BCVS</t>
  </si>
  <si>
    <t>Yong Peng North</t>
  </si>
  <si>
    <t>YGPN</t>
  </si>
  <si>
    <t>Ujong Pasir</t>
  </si>
  <si>
    <t>UPSR</t>
  </si>
  <si>
    <t>Lipat Kajang</t>
  </si>
  <si>
    <t>LKJG</t>
  </si>
  <si>
    <t>Metacorp</t>
  </si>
  <si>
    <t>MCOP</t>
  </si>
  <si>
    <t>Nilai</t>
  </si>
  <si>
    <t>NLAI</t>
  </si>
  <si>
    <t>Batu Tiga</t>
  </si>
  <si>
    <t>BTGA</t>
  </si>
  <si>
    <t>Lumut Maritime</t>
  </si>
  <si>
    <t>LMTM</t>
  </si>
  <si>
    <t>Rasa Selangor Industry</t>
  </si>
  <si>
    <t>RSID</t>
  </si>
  <si>
    <t>Mutiara Damansara</t>
  </si>
  <si>
    <t>MDAM</t>
  </si>
  <si>
    <t>Parit Raja</t>
  </si>
  <si>
    <t>PRJA</t>
  </si>
  <si>
    <t xml:space="preserve"> 1T0 &amp; 2T0</t>
  </si>
  <si>
    <t>CAAH &amp; BSPT/BKPG</t>
  </si>
  <si>
    <t>KPLH 1 &amp; 2</t>
  </si>
  <si>
    <t xml:space="preserve">132/33kV T1 &amp; T2 &amp; T3 </t>
  </si>
  <si>
    <t>Gerisik</t>
  </si>
  <si>
    <t>GRSK</t>
  </si>
  <si>
    <t>Kota Putri</t>
  </si>
  <si>
    <t>KPTR</t>
  </si>
  <si>
    <t>Shah Alam North</t>
  </si>
  <si>
    <t>SHAN</t>
  </si>
  <si>
    <t>132/11kV T1, T2 &amp; T3</t>
  </si>
  <si>
    <t>Jambu Rias</t>
  </si>
  <si>
    <t>JBRS</t>
  </si>
  <si>
    <t>Larkin GIS</t>
  </si>
  <si>
    <t>LKIN</t>
  </si>
  <si>
    <t>Teluk Panglima Garang</t>
  </si>
  <si>
    <t>TPGR</t>
  </si>
  <si>
    <t>Gelugor</t>
  </si>
  <si>
    <t>GLGR</t>
  </si>
  <si>
    <t>Shah Alam West</t>
  </si>
  <si>
    <t>SHAW</t>
  </si>
  <si>
    <t>Bayan Mutiara</t>
  </si>
  <si>
    <t>BMTR</t>
  </si>
  <si>
    <t>Batu Kawan South</t>
  </si>
  <si>
    <t>BTWS</t>
  </si>
  <si>
    <t>Kangar</t>
  </si>
  <si>
    <t>KGAR</t>
  </si>
  <si>
    <t>Skudai</t>
  </si>
  <si>
    <t>SDAI</t>
  </si>
  <si>
    <t>132/22kV T7 &amp; T8</t>
  </si>
  <si>
    <t>Shah Alam Section 18 GIS</t>
  </si>
  <si>
    <t>SHLB</t>
  </si>
  <si>
    <t>Bedong</t>
  </si>
  <si>
    <t>BDNG</t>
  </si>
  <si>
    <t>Kuala Lumpur North</t>
  </si>
  <si>
    <t>KULN</t>
  </si>
  <si>
    <t>Bandar Botanic</t>
  </si>
  <si>
    <t>BBTC</t>
  </si>
  <si>
    <t>Dungun</t>
  </si>
  <si>
    <t>DGUN</t>
  </si>
  <si>
    <t>Chendering</t>
  </si>
  <si>
    <t>CHRG</t>
  </si>
  <si>
    <t>31, 32 &amp; 33</t>
  </si>
  <si>
    <t>37 &amp; 38</t>
  </si>
  <si>
    <t>SONG</t>
  </si>
  <si>
    <t>TMID</t>
  </si>
  <si>
    <t>132/33kV T1 &amp; T2 &amp; T3</t>
  </si>
  <si>
    <t>Perlis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</si>
  <si>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</si>
  <si>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</si>
  <si>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</si>
  <si>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</si>
  <si>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</si>
  <si>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</si>
  <si>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</si>
  <si>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</si>
  <si>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Jeli</t>
  </si>
  <si>
    <t>JELI</t>
  </si>
  <si>
    <t>275/33kV T1 &amp; T2</t>
  </si>
  <si>
    <t>Tanjong Pauh</t>
  </si>
  <si>
    <t>132/11kV T3 &amp; T4</t>
  </si>
  <si>
    <t>Bukit Minyak</t>
  </si>
  <si>
    <t>BMYK</t>
  </si>
  <si>
    <t>Prai Industries</t>
  </si>
  <si>
    <t>Connaught Bridge PS</t>
  </si>
  <si>
    <t>CBPS</t>
  </si>
  <si>
    <t>Segambut</t>
  </si>
  <si>
    <t>SGBT</t>
  </si>
  <si>
    <t xml:space="preserve">Bandar Baru Shah Alam </t>
  </si>
  <si>
    <t>SHAB</t>
  </si>
  <si>
    <t>Kandis</t>
  </si>
  <si>
    <t>KDIS</t>
  </si>
  <si>
    <t>Puchong Perdana</t>
  </si>
  <si>
    <t>PCHP</t>
  </si>
  <si>
    <t>132/33kV T1, T2 &amp; T3</t>
  </si>
  <si>
    <t>35 &amp; 36</t>
  </si>
  <si>
    <t>1T0, 2T0 &amp; 3T0</t>
  </si>
  <si>
    <t>Pasir Putih 1 &amp; 2</t>
  </si>
  <si>
    <t>K.L.East</t>
  </si>
  <si>
    <t>KULE</t>
  </si>
  <si>
    <t>MCCA</t>
  </si>
  <si>
    <t>Bukit Batu</t>
  </si>
  <si>
    <t>BBTU</t>
  </si>
  <si>
    <t>Batang Berjuntai</t>
  </si>
  <si>
    <t>BTAI</t>
  </si>
  <si>
    <t>KLPV</t>
  </si>
  <si>
    <t>Tikam Batu</t>
  </si>
  <si>
    <t>TKBU</t>
  </si>
  <si>
    <t>305 &amp; 805</t>
  </si>
  <si>
    <t>205 &amp; 305</t>
  </si>
  <si>
    <t>205 &amp; 505</t>
  </si>
  <si>
    <t>CHNG &amp; ZRNA</t>
  </si>
  <si>
    <t>BVTA 1 &amp; 2</t>
  </si>
  <si>
    <t>BRBI 1 &amp; 2</t>
  </si>
  <si>
    <t>TGBU 1 &amp; 2</t>
  </si>
  <si>
    <t>KBRG &amp; CHRG/KTGU</t>
  </si>
  <si>
    <t>Kenyir Temporary</t>
  </si>
  <si>
    <t>KNYT</t>
  </si>
  <si>
    <t>KBRG/KTGU &amp; KNYT/KTGU</t>
  </si>
  <si>
    <t>305 &amp; 205</t>
  </si>
  <si>
    <t>SNAI &amp; SLNG</t>
  </si>
  <si>
    <t>Tampoi</t>
  </si>
  <si>
    <t>TPOI</t>
  </si>
  <si>
    <t>132/22kV T1, T2 &amp; T3</t>
  </si>
  <si>
    <t>Batu Pahat East</t>
  </si>
  <si>
    <t>BPHE</t>
  </si>
  <si>
    <t>Yong Peng</t>
  </si>
  <si>
    <t>YGPG</t>
  </si>
  <si>
    <t>Imbi</t>
  </si>
  <si>
    <t>IMBI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</si>
  <si>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</si>
  <si>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</si>
  <si>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</si>
  <si>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</si>
  <si>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</si>
  <si>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</si>
  <si>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</si>
  <si>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</si>
  <si>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</si>
  <si>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</si>
  <si>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KL Pavilion</t>
  </si>
  <si>
    <t>3T0 &amp; 4T0 &amp; 5T0</t>
  </si>
  <si>
    <t>Galloway</t>
  </si>
  <si>
    <t>GWAY</t>
  </si>
  <si>
    <t>Bukit Tambun</t>
  </si>
  <si>
    <t>BTBN</t>
  </si>
  <si>
    <t>VDOR/JNKO &amp; NBTL Feeders</t>
  </si>
  <si>
    <t>Bagan Serai</t>
  </si>
  <si>
    <t>BSRI</t>
  </si>
  <si>
    <t>PBTR &amp; NBTL</t>
  </si>
  <si>
    <t>Kota Damansara</t>
  </si>
  <si>
    <t>KDSA</t>
  </si>
  <si>
    <t>BPHT  1 &amp; 2</t>
  </si>
  <si>
    <t>BPHT &amp; TPCH</t>
  </si>
  <si>
    <t>TPAU</t>
  </si>
  <si>
    <t>TEWA 1 &amp; 2</t>
  </si>
  <si>
    <t>Sungai Pinang</t>
  </si>
  <si>
    <t>SPNG</t>
  </si>
  <si>
    <t>Bukit Mahkamah</t>
  </si>
  <si>
    <t>BMKM</t>
  </si>
  <si>
    <t>Kajang</t>
  </si>
  <si>
    <t>KJNG</t>
  </si>
  <si>
    <t>Pasak</t>
  </si>
  <si>
    <t>PSAK</t>
  </si>
  <si>
    <t>Renggam</t>
  </si>
  <si>
    <t>RNGM</t>
  </si>
  <si>
    <t>Kluang</t>
  </si>
  <si>
    <t>BHGT 1 &amp; 2</t>
  </si>
  <si>
    <t>MTIN &amp; AMID</t>
  </si>
  <si>
    <t>MTIN 1 &amp; 2</t>
  </si>
  <si>
    <t>KEST 1 &amp; 2</t>
  </si>
  <si>
    <t>KLID &amp; NYOR</t>
  </si>
  <si>
    <t>PUBB &amp; KTGI</t>
  </si>
  <si>
    <t>PLGI 1 &amp; 2</t>
  </si>
  <si>
    <t>Sri Iskandar</t>
  </si>
  <si>
    <t>SIKD</t>
  </si>
  <si>
    <t>Ladang Kundang</t>
  </si>
  <si>
    <t>LKDG</t>
  </si>
  <si>
    <t>Stulang Darat</t>
  </si>
  <si>
    <t>STUL</t>
  </si>
  <si>
    <t>Bayan Baru</t>
  </si>
  <si>
    <t>BBRU</t>
  </si>
  <si>
    <t>Semarak</t>
  </si>
  <si>
    <t>SMRK</t>
  </si>
  <si>
    <t>Seelong</t>
  </si>
  <si>
    <t>SELG</t>
  </si>
  <si>
    <t>Subang Jaya Town Centre</t>
  </si>
  <si>
    <t>SJTC</t>
  </si>
  <si>
    <t>Sungai Abong</t>
  </si>
  <si>
    <t>SABG</t>
  </si>
  <si>
    <t>Hualon 1, 2 &amp; 3</t>
  </si>
  <si>
    <t>3T0 &amp; 4T0 &amp; 1W0</t>
  </si>
  <si>
    <t>SGAD 1 &amp; 2</t>
  </si>
  <si>
    <t>PJML &amp; PYSF</t>
  </si>
  <si>
    <r>
      <t>132/33kV T1 &amp; T2</t>
    </r>
    <r>
      <rPr>
        <b/>
        <sz val="11"/>
        <rFont val="Calibri"/>
        <family val="2"/>
      </rPr>
      <t xml:space="preserve"> </t>
    </r>
  </si>
  <si>
    <r>
      <t>132/33kV T1 &amp; T2 &amp;</t>
    </r>
    <r>
      <rPr>
        <b/>
        <sz val="11"/>
        <rFont val="Calibri"/>
        <family val="2"/>
      </rPr>
      <t xml:space="preserve"> T3 </t>
    </r>
  </si>
  <si>
    <r>
      <t xml:space="preserve">1T0 &amp; 2T0 &amp; </t>
    </r>
    <r>
      <rPr>
        <b/>
        <sz val="11"/>
        <rFont val="Calibri"/>
        <family val="2"/>
      </rPr>
      <t xml:space="preserve">3T0 </t>
    </r>
  </si>
  <si>
    <t>Perda</t>
  </si>
  <si>
    <t>Johor Bahru</t>
  </si>
  <si>
    <t>Kuala Lumpur</t>
  </si>
  <si>
    <t>Kuantan</t>
  </si>
  <si>
    <t>Ayer Keroh</t>
  </si>
  <si>
    <t>Seremban</t>
  </si>
  <si>
    <t>Alor Setar</t>
  </si>
  <si>
    <t>Malacca Power Station</t>
  </si>
  <si>
    <t>Malacca</t>
  </si>
  <si>
    <t>PWGR 1 &amp; 2 feeders</t>
  </si>
  <si>
    <t>L35 &amp; L45</t>
  </si>
  <si>
    <t>TKLG</t>
  </si>
  <si>
    <t>Perwaja 1 &amp; 2</t>
  </si>
  <si>
    <t>Telok Kalong</t>
  </si>
  <si>
    <t>Butterworth North</t>
  </si>
  <si>
    <t>132/33 kV T1 &amp; T2</t>
  </si>
  <si>
    <t>BWTN</t>
  </si>
  <si>
    <t>132/11kV T5</t>
  </si>
  <si>
    <t>UNDER-FREQUENCY LOAD SHEDDING (UFLS) REVISION 2024</t>
  </si>
  <si>
    <t>Tunjung</t>
  </si>
  <si>
    <t>WAV8 1 &amp; 2</t>
  </si>
  <si>
    <t>PJ South</t>
  </si>
  <si>
    <t>Air Keroh</t>
  </si>
  <si>
    <t>AKRH</t>
  </si>
  <si>
    <r>
      <t xml:space="preserve">JSIN </t>
    </r>
    <r>
      <rPr>
        <b/>
        <strike/>
        <sz val="11"/>
        <color rgb="FFFF0000"/>
        <rFont val="Calibri"/>
        <family val="2"/>
      </rPr>
      <t>&amp; MCOP</t>
    </r>
  </si>
  <si>
    <t>Kuala Pilah</t>
  </si>
  <si>
    <t>KLPH</t>
  </si>
  <si>
    <t>PROI 1 &amp; 2</t>
  </si>
  <si>
    <t>Mantin</t>
  </si>
  <si>
    <t>MTIN</t>
  </si>
  <si>
    <t>Grid</t>
  </si>
  <si>
    <t>Substation_id</t>
  </si>
  <si>
    <t>Stage Label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</si>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</sst>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"/>
      <family val="2"/>
    </font>
    <font>
      <b/>
      <sz val="9"/>
      <color rgb="FFFF0000"/>
      <name val="Aptos"/>
      <family val="2"/>
    </font>
    <font>
      <sz val="12"/>
      <color theme="0"/>
      <name val="Aptos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9"/>
      <name val="Aptos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b/>
      <strike/>
      <sz val="11"/>
      <color rgb="FFFF0000"/>
      <name val="Calibri"/>
      <family val="2"/>
    </font>
    <font>
      <strike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164" fontId="9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/>
    <xf numFmtId="3" fontId="8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3" fillId="0" borderId="0" xfId="0" applyFont="1"/>
    <xf numFmtId="0" fontId="8" fillId="5" borderId="1" xfId="0" applyFont="1" applyFill="1" applyBorder="1"/>
    <xf numFmtId="0" fontId="14" fillId="0" borderId="0" xfId="0" applyFont="1"/>
    <xf numFmtId="0" fontId="8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3" borderId="1" xfId="0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164" fontId="16" fillId="6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3" borderId="1" xfId="0" applyFont="1" applyFill="1" applyBorder="1"/>
    <xf numFmtId="164" fontId="17" fillId="3" borderId="1" xfId="0" applyNumberFormat="1" applyFont="1" applyFill="1" applyBorder="1" applyAlignment="1">
      <alignment horizontal="center"/>
    </xf>
    <xf numFmtId="0" fontId="12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4" fontId="1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</cellXfs>
  <cellStyles count="2">
    <cellStyle name="Normal" xfId="0" builtinId="0"/>
    <cellStyle name="Normal 3 2" xfId="1" xr:uid="{B672A9F2-C53A-460C-B7FA-54648A2119E9}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B1CE-7881-489C-BAD2-C63E1687E8CB}">
  <sheetPr>
    <pageSetUpPr fitToPage="1"/>
  </sheetPr>
  <dimension ref="A1:K202"/>
  <sheetViews>
    <sheetView tabSelected="1" zoomScale="80" zoomScaleNormal="80" workbookViewId="0">
      <selection activeCell="P19" sqref="P19"/>
    </sheetView>
  </sheetViews>
  <sheetFormatPr baseColWidth="10" defaultColWidth="8.6640625" defaultRowHeight="15" x14ac:dyDescent="0.2"/>
  <cols>
    <col min="1" max="1" width="22.6640625" style="4" customWidth="1"/>
    <col min="2" max="2" width="17" style="4" customWidth="1"/>
    <col min="3" max="3" width="24.83203125" style="4" customWidth="1"/>
    <col min="4" max="4" width="16.6640625" style="4" customWidth="1"/>
    <col min="5" max="5" width="7.83203125" style="25" customWidth="1"/>
    <col min="6" max="6" width="23.33203125" style="4" customWidth="1"/>
    <col min="7" max="7" width="20" style="4" customWidth="1"/>
    <col min="8" max="8" width="6.83203125" style="4" customWidth="1"/>
    <col min="9" max="9" width="10.6640625" style="4" customWidth="1"/>
    <col min="10" max="10" width="6.1640625" style="4" customWidth="1"/>
    <col min="11" max="11" width="10.83203125" style="4" customWidth="1"/>
    <col min="12" max="16384" width="8.6640625" style="1"/>
  </cols>
  <sheetData>
    <row r="1" spans="1:11" s="34" customFormat="1" ht="51.5" customHeight="1" x14ac:dyDescent="0.2">
      <c r="A1" s="60" t="s">
        <v>470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3" customFormat="1" ht="17" x14ac:dyDescent="0.2">
      <c r="A2" s="37" t="s">
        <v>484</v>
      </c>
      <c r="B2" s="38" t="s">
        <v>482</v>
      </c>
      <c r="C2" s="38" t="s">
        <v>0</v>
      </c>
      <c r="D2" s="38" t="s">
        <v>483</v>
      </c>
      <c r="E2" s="38" t="s">
        <v>485</v>
      </c>
      <c r="F2" s="38" t="s">
        <v>1</v>
      </c>
      <c r="G2" s="38" t="s">
        <v>2</v>
      </c>
      <c r="H2" s="38" t="s">
        <v>3</v>
      </c>
      <c r="I2" s="38" t="s">
        <v>5</v>
      </c>
      <c r="J2" s="38" t="s">
        <v>4</v>
      </c>
      <c r="K2" s="38" t="s">
        <v>6</v>
      </c>
    </row>
    <row r="3" spans="1:11" x14ac:dyDescent="0.2">
      <c r="A3" s="56" t="str">
        <f>CONCATENATE("Stage: Ride Through " &amp; CHAR(10))</f>
        <v xml:space="preserve">Stage: Ride Through 
</v>
      </c>
      <c r="B3" s="6" t="s">
        <v>455</v>
      </c>
      <c r="C3" s="5" t="s">
        <v>7</v>
      </c>
      <c r="D3" s="6" t="s">
        <v>8</v>
      </c>
      <c r="E3" s="6">
        <v>132</v>
      </c>
      <c r="F3" s="5" t="s">
        <v>40</v>
      </c>
      <c r="G3" s="6" t="s">
        <v>30</v>
      </c>
      <c r="H3" s="7">
        <v>49.3</v>
      </c>
      <c r="I3" s="7">
        <v>0</v>
      </c>
      <c r="J3" s="7" t="s">
        <v>29</v>
      </c>
      <c r="K3" s="7" t="s">
        <v>29</v>
      </c>
    </row>
    <row r="4" spans="1:11" x14ac:dyDescent="0.2">
      <c r="A4" s="56"/>
      <c r="B4" s="6" t="s">
        <v>453</v>
      </c>
      <c r="C4" s="5" t="s">
        <v>11</v>
      </c>
      <c r="D4" s="6" t="s">
        <v>12</v>
      </c>
      <c r="E4" s="6">
        <v>132</v>
      </c>
      <c r="F4" s="5" t="s">
        <v>246</v>
      </c>
      <c r="G4" s="6">
        <v>505</v>
      </c>
      <c r="H4" s="7">
        <v>49.3</v>
      </c>
      <c r="I4" s="7">
        <v>0</v>
      </c>
      <c r="J4" s="7" t="s">
        <v>29</v>
      </c>
      <c r="K4" s="7" t="s">
        <v>29</v>
      </c>
    </row>
    <row r="5" spans="1:11" x14ac:dyDescent="0.2">
      <c r="A5" s="56"/>
      <c r="B5" s="6" t="s">
        <v>453</v>
      </c>
      <c r="C5" s="5" t="s">
        <v>13</v>
      </c>
      <c r="D5" s="6" t="s">
        <v>14</v>
      </c>
      <c r="E5" s="6">
        <v>132</v>
      </c>
      <c r="F5" s="5" t="s">
        <v>245</v>
      </c>
      <c r="G5" s="8" t="s">
        <v>32</v>
      </c>
      <c r="H5" s="7">
        <v>49.3</v>
      </c>
      <c r="I5" s="7">
        <v>0</v>
      </c>
      <c r="J5" s="7" t="s">
        <v>29</v>
      </c>
      <c r="K5" s="7" t="s">
        <v>29</v>
      </c>
    </row>
    <row r="6" spans="1:11" x14ac:dyDescent="0.2">
      <c r="A6" s="56"/>
      <c r="B6" s="6" t="s">
        <v>453</v>
      </c>
      <c r="C6" s="5" t="s">
        <v>21</v>
      </c>
      <c r="D6" s="6" t="s">
        <v>22</v>
      </c>
      <c r="E6" s="6">
        <v>132</v>
      </c>
      <c r="F6" s="5" t="s">
        <v>46</v>
      </c>
      <c r="G6" s="8" t="s">
        <v>37</v>
      </c>
      <c r="H6" s="7">
        <v>49.3</v>
      </c>
      <c r="I6" s="7">
        <v>0</v>
      </c>
      <c r="J6" s="7" t="s">
        <v>29</v>
      </c>
      <c r="K6" s="7" t="s">
        <v>29</v>
      </c>
    </row>
    <row r="7" spans="1:11" x14ac:dyDescent="0.2">
      <c r="A7" s="56"/>
      <c r="B7" s="6" t="s">
        <v>453</v>
      </c>
      <c r="C7" s="5" t="s">
        <v>17</v>
      </c>
      <c r="D7" s="6" t="s">
        <v>18</v>
      </c>
      <c r="E7" s="6">
        <v>275</v>
      </c>
      <c r="F7" s="5" t="s">
        <v>43</v>
      </c>
      <c r="G7" s="6" t="s">
        <v>34</v>
      </c>
      <c r="H7" s="7">
        <v>49.3</v>
      </c>
      <c r="I7" s="7">
        <v>0</v>
      </c>
      <c r="J7" s="7" t="s">
        <v>29</v>
      </c>
      <c r="K7" s="7" t="s">
        <v>29</v>
      </c>
    </row>
    <row r="8" spans="1:11" x14ac:dyDescent="0.2">
      <c r="A8" s="56"/>
      <c r="B8" s="6" t="s">
        <v>455</v>
      </c>
      <c r="C8" s="5" t="s">
        <v>15</v>
      </c>
      <c r="D8" s="6" t="s">
        <v>16</v>
      </c>
      <c r="E8" s="6">
        <v>132</v>
      </c>
      <c r="F8" s="5" t="s">
        <v>42</v>
      </c>
      <c r="G8" s="6" t="s">
        <v>33</v>
      </c>
      <c r="H8" s="7">
        <v>49.3</v>
      </c>
      <c r="I8" s="7">
        <v>0</v>
      </c>
      <c r="J8" s="7" t="s">
        <v>29</v>
      </c>
      <c r="K8" s="7" t="s">
        <v>29</v>
      </c>
    </row>
    <row r="9" spans="1:11" x14ac:dyDescent="0.2">
      <c r="A9" s="56"/>
      <c r="B9" s="6" t="s">
        <v>313</v>
      </c>
      <c r="C9" s="5" t="s">
        <v>465</v>
      </c>
      <c r="D9" s="6" t="s">
        <v>463</v>
      </c>
      <c r="E9" s="6">
        <v>275</v>
      </c>
      <c r="F9" s="5" t="s">
        <v>464</v>
      </c>
      <c r="G9" s="6" t="s">
        <v>34</v>
      </c>
      <c r="H9" s="7">
        <v>49.3</v>
      </c>
      <c r="I9" s="7">
        <v>1</v>
      </c>
      <c r="J9" s="7" t="s">
        <v>29</v>
      </c>
      <c r="K9" s="7" t="s">
        <v>29</v>
      </c>
    </row>
    <row r="10" spans="1:11" x14ac:dyDescent="0.2">
      <c r="A10" s="56"/>
      <c r="B10" s="6" t="s">
        <v>39</v>
      </c>
      <c r="C10" s="5" t="s">
        <v>9</v>
      </c>
      <c r="D10" s="6" t="s">
        <v>10</v>
      </c>
      <c r="E10" s="6">
        <v>275</v>
      </c>
      <c r="F10" s="5" t="s">
        <v>41</v>
      </c>
      <c r="G10" s="6" t="s">
        <v>31</v>
      </c>
      <c r="H10" s="7">
        <v>49.3</v>
      </c>
      <c r="I10" s="7">
        <v>0</v>
      </c>
      <c r="J10" s="7" t="s">
        <v>29</v>
      </c>
      <c r="K10" s="7" t="s">
        <v>29</v>
      </c>
    </row>
    <row r="11" spans="1:11" x14ac:dyDescent="0.2">
      <c r="A11" s="56"/>
      <c r="B11" s="6" t="s">
        <v>39</v>
      </c>
      <c r="C11" s="5" t="s">
        <v>19</v>
      </c>
      <c r="D11" s="6" t="s">
        <v>20</v>
      </c>
      <c r="E11" s="6">
        <v>132</v>
      </c>
      <c r="F11" s="5" t="s">
        <v>44</v>
      </c>
      <c r="G11" s="6" t="s">
        <v>35</v>
      </c>
      <c r="H11" s="7">
        <v>49.3</v>
      </c>
      <c r="I11" s="7">
        <v>0</v>
      </c>
      <c r="J11" s="7" t="s">
        <v>29</v>
      </c>
      <c r="K11" s="7" t="s">
        <v>29</v>
      </c>
    </row>
    <row r="12" spans="1:11" x14ac:dyDescent="0.2">
      <c r="A12" s="56"/>
      <c r="B12" s="6" t="s">
        <v>39</v>
      </c>
      <c r="C12" s="5" t="s">
        <v>19</v>
      </c>
      <c r="D12" s="6" t="s">
        <v>20</v>
      </c>
      <c r="E12" s="6">
        <v>132</v>
      </c>
      <c r="F12" s="5" t="s">
        <v>45</v>
      </c>
      <c r="G12" s="6" t="s">
        <v>36</v>
      </c>
      <c r="H12" s="7">
        <v>49.3</v>
      </c>
      <c r="I12" s="7">
        <v>0</v>
      </c>
      <c r="J12" s="7" t="s">
        <v>29</v>
      </c>
      <c r="K12" s="7" t="s">
        <v>29</v>
      </c>
    </row>
    <row r="13" spans="1:11" x14ac:dyDescent="0.2">
      <c r="A13" s="56"/>
      <c r="B13" s="6" t="s">
        <v>452</v>
      </c>
      <c r="C13" s="5" t="s">
        <v>23</v>
      </c>
      <c r="D13" s="6" t="s">
        <v>24</v>
      </c>
      <c r="E13" s="6">
        <v>132</v>
      </c>
      <c r="F13" s="5" t="s">
        <v>48</v>
      </c>
      <c r="G13" s="6">
        <v>905</v>
      </c>
      <c r="H13" s="7">
        <v>49.3</v>
      </c>
      <c r="I13" s="7">
        <v>0</v>
      </c>
      <c r="J13" s="7" t="s">
        <v>29</v>
      </c>
      <c r="K13" s="7" t="s">
        <v>29</v>
      </c>
    </row>
    <row r="14" spans="1:11" x14ac:dyDescent="0.2">
      <c r="A14" s="56"/>
      <c r="B14" s="6" t="s">
        <v>452</v>
      </c>
      <c r="C14" s="5" t="s">
        <v>307</v>
      </c>
      <c r="D14" s="6" t="s">
        <v>308</v>
      </c>
      <c r="E14" s="6">
        <v>275</v>
      </c>
      <c r="F14" s="5" t="s">
        <v>461</v>
      </c>
      <c r="G14" s="6" t="s">
        <v>462</v>
      </c>
      <c r="H14" s="7">
        <v>49.3</v>
      </c>
      <c r="I14" s="7">
        <v>0</v>
      </c>
      <c r="J14" s="7" t="s">
        <v>29</v>
      </c>
      <c r="K14" s="7" t="s">
        <v>29</v>
      </c>
    </row>
    <row r="15" spans="1:11" x14ac:dyDescent="0.2">
      <c r="A15" s="56"/>
      <c r="B15" s="6" t="s">
        <v>452</v>
      </c>
      <c r="C15" s="5" t="s">
        <v>25</v>
      </c>
      <c r="D15" s="6" t="s">
        <v>26</v>
      </c>
      <c r="E15" s="6">
        <v>132</v>
      </c>
      <c r="F15" s="5" t="s">
        <v>47</v>
      </c>
      <c r="G15" s="6" t="s">
        <v>33</v>
      </c>
      <c r="H15" s="7">
        <v>49.3</v>
      </c>
      <c r="I15" s="7">
        <v>0</v>
      </c>
      <c r="J15" s="7" t="s">
        <v>29</v>
      </c>
      <c r="K15" s="7" t="s">
        <v>29</v>
      </c>
    </row>
    <row r="16" spans="1:11" x14ac:dyDescent="0.2">
      <c r="A16" s="56"/>
      <c r="B16" s="6" t="s">
        <v>452</v>
      </c>
      <c r="C16" s="5" t="s">
        <v>27</v>
      </c>
      <c r="D16" s="6" t="s">
        <v>28</v>
      </c>
      <c r="E16" s="6">
        <v>132</v>
      </c>
      <c r="F16" s="5" t="s">
        <v>49</v>
      </c>
      <c r="G16" s="6" t="s">
        <v>38</v>
      </c>
      <c r="H16" s="7">
        <v>49.3</v>
      </c>
      <c r="I16" s="7">
        <v>0</v>
      </c>
      <c r="J16" s="7" t="s">
        <v>29</v>
      </c>
      <c r="K16" s="7" t="s">
        <v>29</v>
      </c>
    </row>
    <row r="17" spans="1:11" x14ac:dyDescent="0.2">
      <c r="A17" s="58" t="str">
        <f>CONCATENATE("Stage 1: 49.2Hz " &amp; CHAR(10) )</f>
        <v xml:space="preserve">Stage 1: 49.2Hz 
</v>
      </c>
      <c r="B17" s="9" t="s">
        <v>453</v>
      </c>
      <c r="C17" s="11" t="s">
        <v>50</v>
      </c>
      <c r="D17" s="9" t="s">
        <v>51</v>
      </c>
      <c r="E17" s="9">
        <v>22</v>
      </c>
      <c r="F17" s="11" t="s">
        <v>88</v>
      </c>
      <c r="G17" s="9" t="s">
        <v>93</v>
      </c>
      <c r="H17" s="10">
        <v>49.2</v>
      </c>
      <c r="I17" s="10">
        <v>0</v>
      </c>
      <c r="J17" s="10" t="s">
        <v>29</v>
      </c>
      <c r="K17" s="10" t="s">
        <v>29</v>
      </c>
    </row>
    <row r="18" spans="1:11" x14ac:dyDescent="0.2">
      <c r="A18" s="58"/>
      <c r="B18" s="9" t="s">
        <v>453</v>
      </c>
      <c r="C18" s="11" t="s">
        <v>13</v>
      </c>
      <c r="D18" s="9" t="s">
        <v>14</v>
      </c>
      <c r="E18" s="9">
        <v>22</v>
      </c>
      <c r="F18" s="11" t="s">
        <v>88</v>
      </c>
      <c r="G18" s="9" t="s">
        <v>93</v>
      </c>
      <c r="H18" s="10">
        <v>49.2</v>
      </c>
      <c r="I18" s="10">
        <v>0</v>
      </c>
      <c r="J18" s="10" t="s">
        <v>29</v>
      </c>
      <c r="K18" s="10" t="s">
        <v>29</v>
      </c>
    </row>
    <row r="19" spans="1:11" ht="16" x14ac:dyDescent="0.2">
      <c r="A19" s="58"/>
      <c r="B19" s="9" t="s">
        <v>453</v>
      </c>
      <c r="C19" s="11" t="s">
        <v>74</v>
      </c>
      <c r="D19" s="9" t="s">
        <v>75</v>
      </c>
      <c r="E19" s="9">
        <v>33</v>
      </c>
      <c r="F19" s="12" t="s">
        <v>89</v>
      </c>
      <c r="G19" s="14" t="s">
        <v>93</v>
      </c>
      <c r="H19" s="10">
        <v>49.2</v>
      </c>
      <c r="I19" s="10">
        <v>0</v>
      </c>
      <c r="J19" s="10" t="s">
        <v>29</v>
      </c>
      <c r="K19" s="10" t="s">
        <v>29</v>
      </c>
    </row>
    <row r="20" spans="1:11" ht="16" x14ac:dyDescent="0.2">
      <c r="A20" s="58"/>
      <c r="B20" s="9" t="s">
        <v>452</v>
      </c>
      <c r="C20" s="11" t="s">
        <v>52</v>
      </c>
      <c r="D20" s="9" t="s">
        <v>53</v>
      </c>
      <c r="E20" s="9">
        <v>33</v>
      </c>
      <c r="F20" s="12" t="s">
        <v>89</v>
      </c>
      <c r="G20" s="9" t="s">
        <v>93</v>
      </c>
      <c r="H20" s="10">
        <v>49.2</v>
      </c>
      <c r="I20" s="10">
        <v>0</v>
      </c>
      <c r="J20" s="10" t="s">
        <v>29</v>
      </c>
      <c r="K20" s="10" t="s">
        <v>29</v>
      </c>
    </row>
    <row r="21" spans="1:11" x14ac:dyDescent="0.2">
      <c r="A21" s="58"/>
      <c r="B21" s="9" t="s">
        <v>455</v>
      </c>
      <c r="C21" s="11" t="s">
        <v>54</v>
      </c>
      <c r="D21" s="9" t="s">
        <v>55</v>
      </c>
      <c r="E21" s="9">
        <v>33</v>
      </c>
      <c r="F21" s="11" t="s">
        <v>89</v>
      </c>
      <c r="G21" s="9" t="s">
        <v>94</v>
      </c>
      <c r="H21" s="10">
        <v>49.2</v>
      </c>
      <c r="I21" s="10">
        <v>0</v>
      </c>
      <c r="J21" s="10" t="s">
        <v>29</v>
      </c>
      <c r="K21" s="10" t="s">
        <v>29</v>
      </c>
    </row>
    <row r="22" spans="1:11" ht="16" x14ac:dyDescent="0.2">
      <c r="A22" s="58"/>
      <c r="B22" s="9" t="s">
        <v>456</v>
      </c>
      <c r="C22" s="11" t="s">
        <v>56</v>
      </c>
      <c r="D22" s="9" t="s">
        <v>57</v>
      </c>
      <c r="E22" s="9">
        <v>33</v>
      </c>
      <c r="F22" s="12" t="s">
        <v>89</v>
      </c>
      <c r="G22" s="9" t="s">
        <v>93</v>
      </c>
      <c r="H22" s="10">
        <v>49.2</v>
      </c>
      <c r="I22" s="10">
        <v>0</v>
      </c>
      <c r="J22" s="10" t="s">
        <v>29</v>
      </c>
      <c r="K22" s="10" t="s">
        <v>29</v>
      </c>
    </row>
    <row r="23" spans="1:11" ht="16" x14ac:dyDescent="0.2">
      <c r="A23" s="58"/>
      <c r="B23" s="9" t="s">
        <v>457</v>
      </c>
      <c r="C23" s="11" t="s">
        <v>58</v>
      </c>
      <c r="D23" s="9" t="s">
        <v>59</v>
      </c>
      <c r="E23" s="9">
        <v>33</v>
      </c>
      <c r="F23" s="12" t="s">
        <v>89</v>
      </c>
      <c r="G23" s="9" t="s">
        <v>93</v>
      </c>
      <c r="H23" s="10">
        <v>49.2</v>
      </c>
      <c r="I23" s="10">
        <v>0</v>
      </c>
      <c r="J23" s="10" t="s">
        <v>29</v>
      </c>
      <c r="K23" s="10" t="s">
        <v>29</v>
      </c>
    </row>
    <row r="24" spans="1:11" ht="16" x14ac:dyDescent="0.2">
      <c r="A24" s="58"/>
      <c r="B24" s="9" t="s">
        <v>457</v>
      </c>
      <c r="C24" s="11" t="s">
        <v>60</v>
      </c>
      <c r="D24" s="9" t="s">
        <v>61</v>
      </c>
      <c r="E24" s="9">
        <v>11</v>
      </c>
      <c r="F24" s="12" t="s">
        <v>90</v>
      </c>
      <c r="G24" s="9" t="s">
        <v>99</v>
      </c>
      <c r="H24" s="10">
        <v>49.2</v>
      </c>
      <c r="I24" s="10">
        <v>0</v>
      </c>
      <c r="J24" s="10" t="s">
        <v>29</v>
      </c>
      <c r="K24" s="10" t="s">
        <v>29</v>
      </c>
    </row>
    <row r="25" spans="1:11" x14ac:dyDescent="0.2">
      <c r="A25" s="58"/>
      <c r="B25" s="9" t="s">
        <v>101</v>
      </c>
      <c r="C25" s="11" t="s">
        <v>62</v>
      </c>
      <c r="D25" s="9" t="s">
        <v>63</v>
      </c>
      <c r="E25" s="9">
        <v>11</v>
      </c>
      <c r="F25" s="11" t="s">
        <v>90</v>
      </c>
      <c r="G25" s="9" t="s">
        <v>96</v>
      </c>
      <c r="H25" s="10">
        <v>49.2</v>
      </c>
      <c r="I25" s="10">
        <v>0</v>
      </c>
      <c r="J25" s="10" t="s">
        <v>29</v>
      </c>
      <c r="K25" s="10" t="s">
        <v>29</v>
      </c>
    </row>
    <row r="26" spans="1:11" x14ac:dyDescent="0.2">
      <c r="A26" s="58"/>
      <c r="B26" s="9" t="s">
        <v>101</v>
      </c>
      <c r="C26" s="11" t="s">
        <v>62</v>
      </c>
      <c r="D26" s="9" t="s">
        <v>63</v>
      </c>
      <c r="E26" s="9">
        <v>33</v>
      </c>
      <c r="F26" s="11" t="s">
        <v>91</v>
      </c>
      <c r="G26" s="9" t="s">
        <v>97</v>
      </c>
      <c r="H26" s="10">
        <v>49.2</v>
      </c>
      <c r="I26" s="10">
        <v>0</v>
      </c>
      <c r="J26" s="10" t="s">
        <v>29</v>
      </c>
      <c r="K26" s="10" t="s">
        <v>29</v>
      </c>
    </row>
    <row r="27" spans="1:11" ht="16" x14ac:dyDescent="0.2">
      <c r="A27" s="58"/>
      <c r="B27" s="9" t="s">
        <v>101</v>
      </c>
      <c r="C27" s="11" t="s">
        <v>78</v>
      </c>
      <c r="D27" s="9" t="s">
        <v>79</v>
      </c>
      <c r="E27" s="9">
        <v>33</v>
      </c>
      <c r="F27" s="12" t="s">
        <v>92</v>
      </c>
      <c r="G27" s="30" t="s">
        <v>98</v>
      </c>
      <c r="H27" s="10">
        <v>49.2</v>
      </c>
      <c r="I27" s="10">
        <v>0</v>
      </c>
      <c r="J27" s="10" t="s">
        <v>29</v>
      </c>
      <c r="K27" s="10" t="s">
        <v>29</v>
      </c>
    </row>
    <row r="28" spans="1:11" x14ac:dyDescent="0.2">
      <c r="A28" s="58"/>
      <c r="B28" s="9" t="s">
        <v>101</v>
      </c>
      <c r="C28" s="11" t="s">
        <v>86</v>
      </c>
      <c r="D28" s="9" t="s">
        <v>87</v>
      </c>
      <c r="E28" s="9">
        <v>33</v>
      </c>
      <c r="F28" s="11" t="s">
        <v>91</v>
      </c>
      <c r="G28" s="20" t="s">
        <v>97</v>
      </c>
      <c r="H28" s="10">
        <v>49.2</v>
      </c>
      <c r="I28" s="10">
        <v>0</v>
      </c>
      <c r="J28" s="10" t="s">
        <v>29</v>
      </c>
      <c r="K28" s="10" t="s">
        <v>29</v>
      </c>
    </row>
    <row r="29" spans="1:11" ht="16" x14ac:dyDescent="0.2">
      <c r="A29" s="58"/>
      <c r="B29" s="9" t="s">
        <v>39</v>
      </c>
      <c r="C29" s="11" t="s">
        <v>66</v>
      </c>
      <c r="D29" s="9" t="s">
        <v>67</v>
      </c>
      <c r="E29" s="9">
        <v>33</v>
      </c>
      <c r="F29" s="12" t="s">
        <v>89</v>
      </c>
      <c r="G29" s="9" t="s">
        <v>94</v>
      </c>
      <c r="H29" s="10">
        <v>49.2</v>
      </c>
      <c r="I29" s="10">
        <v>0</v>
      </c>
      <c r="J29" s="10" t="s">
        <v>29</v>
      </c>
      <c r="K29" s="10" t="s">
        <v>29</v>
      </c>
    </row>
    <row r="30" spans="1:11" ht="16" x14ac:dyDescent="0.2">
      <c r="A30" s="58"/>
      <c r="B30" s="9" t="s">
        <v>454</v>
      </c>
      <c r="C30" s="11" t="s">
        <v>68</v>
      </c>
      <c r="D30" s="9" t="s">
        <v>69</v>
      </c>
      <c r="E30" s="9">
        <v>33</v>
      </c>
      <c r="F30" s="12" t="s">
        <v>89</v>
      </c>
      <c r="G30" s="9" t="s">
        <v>93</v>
      </c>
      <c r="H30" s="10">
        <v>49.2</v>
      </c>
      <c r="I30" s="10">
        <v>0</v>
      </c>
      <c r="J30" s="10" t="s">
        <v>29</v>
      </c>
      <c r="K30" s="10" t="s">
        <v>29</v>
      </c>
    </row>
    <row r="31" spans="1:11" ht="16" x14ac:dyDescent="0.2">
      <c r="A31" s="58"/>
      <c r="B31" s="9" t="s">
        <v>454</v>
      </c>
      <c r="C31" s="11" t="s">
        <v>70</v>
      </c>
      <c r="D31" s="9" t="s">
        <v>71</v>
      </c>
      <c r="E31" s="9">
        <v>33</v>
      </c>
      <c r="F31" s="12" t="s">
        <v>89</v>
      </c>
      <c r="G31" s="9" t="s">
        <v>93</v>
      </c>
      <c r="H31" s="10">
        <v>49.2</v>
      </c>
      <c r="I31" s="10">
        <v>0</v>
      </c>
      <c r="J31" s="10" t="s">
        <v>29</v>
      </c>
      <c r="K31" s="10" t="s">
        <v>29</v>
      </c>
    </row>
    <row r="32" spans="1:11" ht="16" x14ac:dyDescent="0.2">
      <c r="A32" s="58"/>
      <c r="B32" s="14" t="s">
        <v>454</v>
      </c>
      <c r="C32" s="13" t="s">
        <v>72</v>
      </c>
      <c r="D32" s="14" t="s">
        <v>73</v>
      </c>
      <c r="E32" s="14">
        <v>33</v>
      </c>
      <c r="F32" s="15" t="s">
        <v>89</v>
      </c>
      <c r="G32" s="14" t="s">
        <v>93</v>
      </c>
      <c r="H32" s="16">
        <v>49.2</v>
      </c>
      <c r="I32" s="16">
        <v>0</v>
      </c>
      <c r="J32" s="16" t="s">
        <v>29</v>
      </c>
      <c r="K32" s="16" t="s">
        <v>29</v>
      </c>
    </row>
    <row r="33" spans="1:11" ht="16" x14ac:dyDescent="0.2">
      <c r="A33" s="58"/>
      <c r="B33" s="9" t="s">
        <v>454</v>
      </c>
      <c r="C33" s="11" t="s">
        <v>64</v>
      </c>
      <c r="D33" s="9" t="s">
        <v>65</v>
      </c>
      <c r="E33" s="9">
        <v>33</v>
      </c>
      <c r="F33" s="12" t="s">
        <v>89</v>
      </c>
      <c r="G33" s="9" t="s">
        <v>100</v>
      </c>
      <c r="H33" s="10">
        <v>49.2</v>
      </c>
      <c r="I33" s="10">
        <v>0</v>
      </c>
      <c r="J33" s="10" t="s">
        <v>29</v>
      </c>
      <c r="K33" s="10" t="s">
        <v>29</v>
      </c>
    </row>
    <row r="34" spans="1:11" x14ac:dyDescent="0.2">
      <c r="A34" s="58"/>
      <c r="B34" s="9" t="s">
        <v>454</v>
      </c>
      <c r="C34" s="11" t="s">
        <v>82</v>
      </c>
      <c r="D34" s="9" t="s">
        <v>83</v>
      </c>
      <c r="E34" s="9">
        <v>33</v>
      </c>
      <c r="F34" s="11" t="s">
        <v>102</v>
      </c>
      <c r="G34" s="9" t="s">
        <v>103</v>
      </c>
      <c r="H34" s="10">
        <v>49.2</v>
      </c>
      <c r="I34" s="10">
        <v>0</v>
      </c>
      <c r="J34" s="10" t="s">
        <v>29</v>
      </c>
      <c r="K34" s="10" t="s">
        <v>29</v>
      </c>
    </row>
    <row r="35" spans="1:11" x14ac:dyDescent="0.2">
      <c r="A35" s="58"/>
      <c r="B35" s="9" t="s">
        <v>454</v>
      </c>
      <c r="C35" s="11" t="s">
        <v>84</v>
      </c>
      <c r="D35" s="9" t="s">
        <v>85</v>
      </c>
      <c r="E35" s="9">
        <v>33</v>
      </c>
      <c r="F35" s="11" t="s">
        <v>91</v>
      </c>
      <c r="G35" s="9" t="s">
        <v>97</v>
      </c>
      <c r="H35" s="10">
        <v>49.2</v>
      </c>
      <c r="I35" s="10">
        <v>0</v>
      </c>
      <c r="J35" s="10" t="s">
        <v>29</v>
      </c>
      <c r="K35" s="10" t="s">
        <v>29</v>
      </c>
    </row>
    <row r="36" spans="1:11" x14ac:dyDescent="0.2">
      <c r="A36" s="58"/>
      <c r="B36" s="9" t="s">
        <v>458</v>
      </c>
      <c r="C36" s="11" t="s">
        <v>80</v>
      </c>
      <c r="D36" s="9" t="s">
        <v>81</v>
      </c>
      <c r="E36" s="9">
        <v>11</v>
      </c>
      <c r="F36" s="11" t="s">
        <v>90</v>
      </c>
      <c r="G36" s="9" t="s">
        <v>96</v>
      </c>
      <c r="H36" s="10">
        <v>49.2</v>
      </c>
      <c r="I36" s="10">
        <v>0</v>
      </c>
      <c r="J36" s="10" t="s">
        <v>29</v>
      </c>
      <c r="K36" s="10" t="s">
        <v>29</v>
      </c>
    </row>
    <row r="37" spans="1:11" x14ac:dyDescent="0.2">
      <c r="A37" s="58"/>
      <c r="B37" s="9" t="s">
        <v>458</v>
      </c>
      <c r="C37" s="11" t="s">
        <v>76</v>
      </c>
      <c r="D37" s="9" t="s">
        <v>77</v>
      </c>
      <c r="E37" s="9">
        <v>33</v>
      </c>
      <c r="F37" s="11" t="s">
        <v>89</v>
      </c>
      <c r="G37" s="9" t="s">
        <v>93</v>
      </c>
      <c r="H37" s="10">
        <v>49.2</v>
      </c>
      <c r="I37" s="10">
        <v>0</v>
      </c>
      <c r="J37" s="10" t="s">
        <v>29</v>
      </c>
      <c r="K37" s="10" t="s">
        <v>29</v>
      </c>
    </row>
    <row r="38" spans="1:11" x14ac:dyDescent="0.2">
      <c r="A38" s="56" t="str">
        <f>CONCATENATE("Stage 2: 49.1Hz " &amp; CHAR(10) )</f>
        <v xml:space="preserve">Stage 2: 49.1Hz 
</v>
      </c>
      <c r="B38" s="6" t="s">
        <v>101</v>
      </c>
      <c r="C38" s="5" t="s">
        <v>104</v>
      </c>
      <c r="D38" s="6" t="s">
        <v>105</v>
      </c>
      <c r="E38" s="6">
        <v>33</v>
      </c>
      <c r="F38" s="5" t="s">
        <v>91</v>
      </c>
      <c r="G38" s="6" t="s">
        <v>97</v>
      </c>
      <c r="H38" s="7">
        <v>49.1</v>
      </c>
      <c r="I38" s="7">
        <v>0</v>
      </c>
      <c r="J38" s="7" t="s">
        <v>29</v>
      </c>
      <c r="K38" s="7" t="s">
        <v>29</v>
      </c>
    </row>
    <row r="39" spans="1:11" x14ac:dyDescent="0.2">
      <c r="A39" s="56"/>
      <c r="B39" s="6" t="s">
        <v>101</v>
      </c>
      <c r="C39" s="5" t="s">
        <v>106</v>
      </c>
      <c r="D39" s="6" t="s">
        <v>107</v>
      </c>
      <c r="E39" s="6">
        <v>33</v>
      </c>
      <c r="F39" s="5" t="s">
        <v>91</v>
      </c>
      <c r="G39" s="6" t="s">
        <v>98</v>
      </c>
      <c r="H39" s="7">
        <v>49.1</v>
      </c>
      <c r="I39" s="7">
        <v>0</v>
      </c>
      <c r="J39" s="7" t="s">
        <v>29</v>
      </c>
      <c r="K39" s="7" t="s">
        <v>29</v>
      </c>
    </row>
    <row r="40" spans="1:11" x14ac:dyDescent="0.2">
      <c r="A40" s="56"/>
      <c r="B40" s="6" t="s">
        <v>101</v>
      </c>
      <c r="C40" s="5" t="s">
        <v>108</v>
      </c>
      <c r="D40" s="6" t="s">
        <v>109</v>
      </c>
      <c r="E40" s="6">
        <v>33</v>
      </c>
      <c r="F40" s="5" t="s">
        <v>89</v>
      </c>
      <c r="G40" s="6" t="s">
        <v>93</v>
      </c>
      <c r="H40" s="7">
        <v>49.1</v>
      </c>
      <c r="I40" s="7">
        <v>0</v>
      </c>
      <c r="J40" s="7" t="s">
        <v>29</v>
      </c>
      <c r="K40" s="7" t="s">
        <v>29</v>
      </c>
    </row>
    <row r="41" spans="1:11" x14ac:dyDescent="0.2">
      <c r="A41" s="56"/>
      <c r="B41" s="6" t="s">
        <v>101</v>
      </c>
      <c r="C41" s="5" t="s">
        <v>128</v>
      </c>
      <c r="D41" s="6" t="s">
        <v>129</v>
      </c>
      <c r="E41" s="6">
        <v>33</v>
      </c>
      <c r="F41" s="5" t="s">
        <v>140</v>
      </c>
      <c r="G41" s="6" t="s">
        <v>93</v>
      </c>
      <c r="H41" s="7">
        <v>49.1</v>
      </c>
      <c r="I41" s="7">
        <v>0</v>
      </c>
      <c r="J41" s="7" t="s">
        <v>29</v>
      </c>
      <c r="K41" s="7" t="s">
        <v>29</v>
      </c>
    </row>
    <row r="42" spans="1:11" x14ac:dyDescent="0.2">
      <c r="A42" s="56"/>
      <c r="B42" s="6" t="s">
        <v>454</v>
      </c>
      <c r="C42" s="5" t="s">
        <v>136</v>
      </c>
      <c r="D42" s="6" t="s">
        <v>137</v>
      </c>
      <c r="E42" s="6">
        <v>33</v>
      </c>
      <c r="F42" s="5" t="s">
        <v>141</v>
      </c>
      <c r="G42" s="6" t="s">
        <v>146</v>
      </c>
      <c r="H42" s="7">
        <v>49.1</v>
      </c>
      <c r="I42" s="7">
        <v>0</v>
      </c>
      <c r="J42" s="7" t="s">
        <v>29</v>
      </c>
      <c r="K42" s="7" t="s">
        <v>29</v>
      </c>
    </row>
    <row r="43" spans="1:11" x14ac:dyDescent="0.2">
      <c r="A43" s="56"/>
      <c r="B43" s="6" t="s">
        <v>454</v>
      </c>
      <c r="C43" s="5" t="s">
        <v>114</v>
      </c>
      <c r="D43" s="6" t="s">
        <v>115</v>
      </c>
      <c r="E43" s="6">
        <v>11</v>
      </c>
      <c r="F43" s="5" t="s">
        <v>90</v>
      </c>
      <c r="G43" s="6" t="s">
        <v>96</v>
      </c>
      <c r="H43" s="7">
        <v>49.1</v>
      </c>
      <c r="I43" s="7">
        <v>0</v>
      </c>
      <c r="J43" s="7" t="s">
        <v>29</v>
      </c>
      <c r="K43" s="7" t="s">
        <v>29</v>
      </c>
    </row>
    <row r="44" spans="1:11" x14ac:dyDescent="0.2">
      <c r="A44" s="56"/>
      <c r="B44" s="6" t="s">
        <v>453</v>
      </c>
      <c r="C44" s="5" t="s">
        <v>116</v>
      </c>
      <c r="D44" s="6" t="s">
        <v>117</v>
      </c>
      <c r="E44" s="6">
        <v>230</v>
      </c>
      <c r="F44" s="5" t="s">
        <v>472</v>
      </c>
      <c r="G44" s="6" t="s">
        <v>143</v>
      </c>
      <c r="H44" s="7">
        <v>49.1</v>
      </c>
      <c r="I44" s="7">
        <v>0</v>
      </c>
      <c r="J44" s="7" t="s">
        <v>29</v>
      </c>
      <c r="K44" s="7" t="s">
        <v>29</v>
      </c>
    </row>
    <row r="45" spans="1:11" x14ac:dyDescent="0.2">
      <c r="A45" s="56"/>
      <c r="B45" s="6" t="s">
        <v>453</v>
      </c>
      <c r="C45" s="5" t="s">
        <v>118</v>
      </c>
      <c r="D45" s="6" t="s">
        <v>119</v>
      </c>
      <c r="E45" s="6">
        <v>22</v>
      </c>
      <c r="F45" s="5" t="s">
        <v>88</v>
      </c>
      <c r="G45" s="6" t="s">
        <v>93</v>
      </c>
      <c r="H45" s="7">
        <v>49.1</v>
      </c>
      <c r="I45" s="7">
        <v>0</v>
      </c>
      <c r="J45" s="7" t="s">
        <v>29</v>
      </c>
      <c r="K45" s="7" t="s">
        <v>29</v>
      </c>
    </row>
    <row r="46" spans="1:11" x14ac:dyDescent="0.2">
      <c r="A46" s="56"/>
      <c r="B46" s="6" t="s">
        <v>455</v>
      </c>
      <c r="C46" s="5" t="s">
        <v>122</v>
      </c>
      <c r="D46" s="6" t="s">
        <v>123</v>
      </c>
      <c r="E46" s="6">
        <v>132</v>
      </c>
      <c r="F46" s="5" t="s">
        <v>247</v>
      </c>
      <c r="G46" s="6" t="s">
        <v>144</v>
      </c>
      <c r="H46" s="7">
        <v>49.1</v>
      </c>
      <c r="I46" s="7">
        <v>0</v>
      </c>
      <c r="J46" s="7" t="s">
        <v>29</v>
      </c>
      <c r="K46" s="7" t="s">
        <v>29</v>
      </c>
    </row>
    <row r="47" spans="1:11" x14ac:dyDescent="0.2">
      <c r="A47" s="56"/>
      <c r="B47" s="6" t="s">
        <v>457</v>
      </c>
      <c r="C47" s="5" t="s">
        <v>124</v>
      </c>
      <c r="D47" s="6" t="s">
        <v>125</v>
      </c>
      <c r="E47" s="6">
        <v>132</v>
      </c>
      <c r="F47" s="5" t="s">
        <v>142</v>
      </c>
      <c r="G47" s="6" t="s">
        <v>33</v>
      </c>
      <c r="H47" s="7">
        <v>49.1</v>
      </c>
      <c r="I47" s="7">
        <v>0</v>
      </c>
      <c r="J47" s="7" t="s">
        <v>29</v>
      </c>
      <c r="K47" s="7" t="s">
        <v>29</v>
      </c>
    </row>
    <row r="48" spans="1:11" x14ac:dyDescent="0.2">
      <c r="A48" s="56"/>
      <c r="B48" s="6" t="s">
        <v>39</v>
      </c>
      <c r="C48" s="5" t="s">
        <v>120</v>
      </c>
      <c r="D48" s="6" t="s">
        <v>121</v>
      </c>
      <c r="E48" s="6">
        <v>33</v>
      </c>
      <c r="F48" s="5" t="s">
        <v>89</v>
      </c>
      <c r="G48" s="6" t="s">
        <v>93</v>
      </c>
      <c r="H48" s="7">
        <v>49.1</v>
      </c>
      <c r="I48" s="7">
        <v>0</v>
      </c>
      <c r="J48" s="7" t="s">
        <v>29</v>
      </c>
      <c r="K48" s="7" t="s">
        <v>29</v>
      </c>
    </row>
    <row r="49" spans="1:11" x14ac:dyDescent="0.2">
      <c r="A49" s="56"/>
      <c r="B49" s="6" t="s">
        <v>39</v>
      </c>
      <c r="C49" s="5" t="s">
        <v>126</v>
      </c>
      <c r="D49" s="6" t="s">
        <v>127</v>
      </c>
      <c r="E49" s="6">
        <v>33</v>
      </c>
      <c r="F49" s="5" t="s">
        <v>141</v>
      </c>
      <c r="G49" s="6" t="s">
        <v>147</v>
      </c>
      <c r="H49" s="7">
        <v>49.1</v>
      </c>
      <c r="I49" s="7">
        <v>0</v>
      </c>
      <c r="J49" s="7" t="s">
        <v>29</v>
      </c>
      <c r="K49" s="7" t="s">
        <v>29</v>
      </c>
    </row>
    <row r="50" spans="1:11" x14ac:dyDescent="0.2">
      <c r="A50" s="56"/>
      <c r="B50" s="6" t="s">
        <v>39</v>
      </c>
      <c r="C50" s="5" t="s">
        <v>112</v>
      </c>
      <c r="D50" s="6" t="s">
        <v>113</v>
      </c>
      <c r="E50" s="6">
        <v>33</v>
      </c>
      <c r="F50" s="5" t="s">
        <v>139</v>
      </c>
      <c r="G50" s="6" t="s">
        <v>93</v>
      </c>
      <c r="H50" s="7">
        <v>49.1</v>
      </c>
      <c r="I50" s="7">
        <v>0</v>
      </c>
      <c r="J50" s="7" t="s">
        <v>29</v>
      </c>
      <c r="K50" s="7" t="s">
        <v>29</v>
      </c>
    </row>
    <row r="51" spans="1:11" s="2" customFormat="1" x14ac:dyDescent="0.2">
      <c r="A51" s="56"/>
      <c r="B51" s="17" t="s">
        <v>186</v>
      </c>
      <c r="C51" s="19" t="s">
        <v>130</v>
      </c>
      <c r="D51" s="17" t="s">
        <v>131</v>
      </c>
      <c r="E51" s="17">
        <v>33</v>
      </c>
      <c r="F51" s="19" t="s">
        <v>248</v>
      </c>
      <c r="G51" s="17" t="s">
        <v>178</v>
      </c>
      <c r="H51" s="18">
        <v>49.1</v>
      </c>
      <c r="I51" s="18">
        <v>0</v>
      </c>
      <c r="J51" s="18" t="s">
        <v>29</v>
      </c>
      <c r="K51" s="18" t="s">
        <v>29</v>
      </c>
    </row>
    <row r="52" spans="1:11" x14ac:dyDescent="0.2">
      <c r="A52" s="56"/>
      <c r="B52" s="6" t="s">
        <v>421</v>
      </c>
      <c r="C52" s="5" t="s">
        <v>132</v>
      </c>
      <c r="D52" s="6" t="s">
        <v>133</v>
      </c>
      <c r="E52" s="6">
        <v>11</v>
      </c>
      <c r="F52" s="5" t="s">
        <v>90</v>
      </c>
      <c r="G52" s="6" t="s">
        <v>96</v>
      </c>
      <c r="H52" s="7">
        <v>49.1</v>
      </c>
      <c r="I52" s="7">
        <v>0</v>
      </c>
      <c r="J52" s="7" t="s">
        <v>29</v>
      </c>
      <c r="K52" s="7" t="s">
        <v>29</v>
      </c>
    </row>
    <row r="53" spans="1:11" x14ac:dyDescent="0.2">
      <c r="A53" s="56"/>
      <c r="B53" s="6" t="s">
        <v>452</v>
      </c>
      <c r="C53" s="5" t="s">
        <v>110</v>
      </c>
      <c r="D53" s="6" t="s">
        <v>111</v>
      </c>
      <c r="E53" s="6">
        <v>33</v>
      </c>
      <c r="F53" s="5" t="s">
        <v>89</v>
      </c>
      <c r="G53" s="8" t="s">
        <v>93</v>
      </c>
      <c r="H53" s="7">
        <v>49.1</v>
      </c>
      <c r="I53" s="7">
        <v>0</v>
      </c>
      <c r="J53" s="7" t="s">
        <v>29</v>
      </c>
      <c r="K53" s="7" t="s">
        <v>29</v>
      </c>
    </row>
    <row r="54" spans="1:11" ht="16" x14ac:dyDescent="0.2">
      <c r="A54" s="56"/>
      <c r="B54" s="6" t="s">
        <v>452</v>
      </c>
      <c r="C54" s="5" t="s">
        <v>134</v>
      </c>
      <c r="D54" s="6" t="s">
        <v>135</v>
      </c>
      <c r="E54" s="6">
        <v>33</v>
      </c>
      <c r="F54" s="24" t="s">
        <v>91</v>
      </c>
      <c r="G54" s="6" t="s">
        <v>145</v>
      </c>
      <c r="H54" s="7">
        <v>49.1</v>
      </c>
      <c r="I54" s="7">
        <v>0</v>
      </c>
      <c r="J54" s="7" t="s">
        <v>29</v>
      </c>
      <c r="K54" s="7" t="s">
        <v>29</v>
      </c>
    </row>
    <row r="55" spans="1:11" ht="16" x14ac:dyDescent="0.2">
      <c r="A55" s="56"/>
      <c r="B55" s="6" t="s">
        <v>452</v>
      </c>
      <c r="C55" s="5" t="s">
        <v>134</v>
      </c>
      <c r="D55" s="6" t="s">
        <v>135</v>
      </c>
      <c r="E55" s="6">
        <v>11</v>
      </c>
      <c r="F55" s="24" t="s">
        <v>90</v>
      </c>
      <c r="G55" s="6" t="s">
        <v>95</v>
      </c>
      <c r="H55" s="7">
        <v>49.1</v>
      </c>
      <c r="I55" s="7">
        <v>0</v>
      </c>
      <c r="J55" s="7" t="s">
        <v>29</v>
      </c>
      <c r="K55" s="7" t="s">
        <v>29</v>
      </c>
    </row>
    <row r="56" spans="1:11" x14ac:dyDescent="0.2">
      <c r="A56" s="56"/>
      <c r="B56" s="6" t="s">
        <v>456</v>
      </c>
      <c r="C56" s="5" t="s">
        <v>459</v>
      </c>
      <c r="D56" s="6" t="s">
        <v>138</v>
      </c>
      <c r="E56" s="6">
        <v>11</v>
      </c>
      <c r="F56" s="5" t="s">
        <v>90</v>
      </c>
      <c r="G56" s="6" t="s">
        <v>96</v>
      </c>
      <c r="H56" s="7">
        <v>49.1</v>
      </c>
      <c r="I56" s="7">
        <v>0</v>
      </c>
      <c r="J56" s="7" t="s">
        <v>29</v>
      </c>
      <c r="K56" s="7" t="s">
        <v>29</v>
      </c>
    </row>
    <row r="57" spans="1:11" s="42" customFormat="1" ht="16" x14ac:dyDescent="0.2">
      <c r="A57" s="59" t="str">
        <f>CONCATENATE("Stage 3: 49.0Hz " &amp; CHAR(10) )</f>
        <v xml:space="preserve">Stage 3: 49.0Hz 
</v>
      </c>
      <c r="B57" s="31" t="s">
        <v>186</v>
      </c>
      <c r="C57" s="39" t="s">
        <v>471</v>
      </c>
      <c r="D57" s="31" t="s">
        <v>177</v>
      </c>
      <c r="E57" s="31">
        <v>33</v>
      </c>
      <c r="F57" s="40" t="s">
        <v>89</v>
      </c>
      <c r="G57" s="31" t="s">
        <v>93</v>
      </c>
      <c r="H57" s="41">
        <v>49</v>
      </c>
      <c r="I57" s="41">
        <v>0</v>
      </c>
      <c r="J57" s="41" t="s">
        <v>29</v>
      </c>
      <c r="K57" s="41" t="s">
        <v>29</v>
      </c>
    </row>
    <row r="58" spans="1:11" x14ac:dyDescent="0.2">
      <c r="A58" s="59"/>
      <c r="B58" s="9" t="s">
        <v>456</v>
      </c>
      <c r="C58" s="11" t="s">
        <v>155</v>
      </c>
      <c r="D58" s="9" t="s">
        <v>156</v>
      </c>
      <c r="E58" s="9">
        <v>11</v>
      </c>
      <c r="F58" s="11" t="s">
        <v>175</v>
      </c>
      <c r="G58" s="9" t="s">
        <v>96</v>
      </c>
      <c r="H58" s="10">
        <v>49</v>
      </c>
      <c r="I58" s="10">
        <v>0</v>
      </c>
      <c r="J58" s="10" t="s">
        <v>29</v>
      </c>
      <c r="K58" s="10" t="s">
        <v>29</v>
      </c>
    </row>
    <row r="59" spans="1:11" x14ac:dyDescent="0.2">
      <c r="A59" s="59"/>
      <c r="B59" s="9" t="s">
        <v>456</v>
      </c>
      <c r="C59" s="11" t="s">
        <v>157</v>
      </c>
      <c r="D59" s="9" t="s">
        <v>158</v>
      </c>
      <c r="E59" s="9">
        <v>11</v>
      </c>
      <c r="F59" s="11" t="s">
        <v>176</v>
      </c>
      <c r="G59" s="9" t="s">
        <v>181</v>
      </c>
      <c r="H59" s="10">
        <v>49</v>
      </c>
      <c r="I59" s="10">
        <v>0</v>
      </c>
      <c r="J59" s="10" t="s">
        <v>29</v>
      </c>
      <c r="K59" s="10" t="s">
        <v>29</v>
      </c>
    </row>
    <row r="60" spans="1:11" x14ac:dyDescent="0.2">
      <c r="A60" s="59"/>
      <c r="B60" s="9" t="s">
        <v>39</v>
      </c>
      <c r="C60" s="11" t="s">
        <v>150</v>
      </c>
      <c r="D60" s="9" t="s">
        <v>20</v>
      </c>
      <c r="E60" s="9">
        <v>11</v>
      </c>
      <c r="F60" s="11" t="s">
        <v>90</v>
      </c>
      <c r="G60" s="9" t="s">
        <v>96</v>
      </c>
      <c r="H60" s="10">
        <v>49</v>
      </c>
      <c r="I60" s="10">
        <v>0</v>
      </c>
      <c r="J60" s="10" t="s">
        <v>29</v>
      </c>
      <c r="K60" s="10" t="s">
        <v>29</v>
      </c>
    </row>
    <row r="61" spans="1:11" x14ac:dyDescent="0.2">
      <c r="A61" s="59"/>
      <c r="B61" s="9" t="s">
        <v>39</v>
      </c>
      <c r="C61" s="11" t="s">
        <v>159</v>
      </c>
      <c r="D61" s="9" t="s">
        <v>160</v>
      </c>
      <c r="E61" s="9">
        <v>132</v>
      </c>
      <c r="F61" s="11" t="s">
        <v>183</v>
      </c>
      <c r="G61" s="9" t="s">
        <v>182</v>
      </c>
      <c r="H61" s="10">
        <v>49</v>
      </c>
      <c r="I61" s="10">
        <v>0</v>
      </c>
      <c r="J61" s="10" t="s">
        <v>29</v>
      </c>
      <c r="K61" s="10" t="s">
        <v>29</v>
      </c>
    </row>
    <row r="62" spans="1:11" x14ac:dyDescent="0.2">
      <c r="A62" s="59"/>
      <c r="B62" s="9" t="s">
        <v>39</v>
      </c>
      <c r="C62" s="11" t="s">
        <v>161</v>
      </c>
      <c r="D62" s="9" t="s">
        <v>162</v>
      </c>
      <c r="E62" s="9">
        <v>33</v>
      </c>
      <c r="F62" s="11" t="s">
        <v>91</v>
      </c>
      <c r="G62" s="20" t="s">
        <v>97</v>
      </c>
      <c r="H62" s="10">
        <v>49</v>
      </c>
      <c r="I62" s="10">
        <v>0</v>
      </c>
      <c r="J62" s="10" t="s">
        <v>29</v>
      </c>
      <c r="K62" s="10" t="s">
        <v>29</v>
      </c>
    </row>
    <row r="63" spans="1:11" x14ac:dyDescent="0.2">
      <c r="A63" s="59"/>
      <c r="B63" s="9" t="s">
        <v>455</v>
      </c>
      <c r="C63" s="11" t="s">
        <v>153</v>
      </c>
      <c r="D63" s="9" t="s">
        <v>154</v>
      </c>
      <c r="E63" s="9">
        <v>11</v>
      </c>
      <c r="F63" s="11" t="s">
        <v>90</v>
      </c>
      <c r="G63" s="9" t="s">
        <v>96</v>
      </c>
      <c r="H63" s="10">
        <v>49</v>
      </c>
      <c r="I63" s="10">
        <v>0</v>
      </c>
      <c r="J63" s="10" t="s">
        <v>29</v>
      </c>
      <c r="K63" s="10" t="s">
        <v>29</v>
      </c>
    </row>
    <row r="64" spans="1:11" x14ac:dyDescent="0.2">
      <c r="A64" s="59"/>
      <c r="B64" s="9" t="s">
        <v>455</v>
      </c>
      <c r="C64" s="11" t="s">
        <v>153</v>
      </c>
      <c r="D64" s="9" t="s">
        <v>154</v>
      </c>
      <c r="E64" s="9">
        <v>33</v>
      </c>
      <c r="F64" s="11" t="s">
        <v>91</v>
      </c>
      <c r="G64" s="9" t="s">
        <v>180</v>
      </c>
      <c r="H64" s="10">
        <v>49</v>
      </c>
      <c r="I64" s="10">
        <v>0</v>
      </c>
      <c r="J64" s="10" t="s">
        <v>29</v>
      </c>
      <c r="K64" s="10" t="s">
        <v>29</v>
      </c>
    </row>
    <row r="65" spans="1:11" x14ac:dyDescent="0.2">
      <c r="A65" s="59"/>
      <c r="B65" s="9" t="s">
        <v>455</v>
      </c>
      <c r="C65" s="11" t="s">
        <v>167</v>
      </c>
      <c r="D65" s="9" t="s">
        <v>168</v>
      </c>
      <c r="E65" s="9">
        <v>11</v>
      </c>
      <c r="F65" s="11" t="s">
        <v>90</v>
      </c>
      <c r="G65" s="9" t="s">
        <v>96</v>
      </c>
      <c r="H65" s="10">
        <v>49</v>
      </c>
      <c r="I65" s="10">
        <v>0</v>
      </c>
      <c r="J65" s="10" t="s">
        <v>29</v>
      </c>
      <c r="K65" s="10" t="s">
        <v>29</v>
      </c>
    </row>
    <row r="66" spans="1:11" s="29" customFormat="1" x14ac:dyDescent="0.2">
      <c r="A66" s="59"/>
      <c r="B66" s="9" t="s">
        <v>452</v>
      </c>
      <c r="C66" s="11" t="s">
        <v>466</v>
      </c>
      <c r="D66" s="9" t="s">
        <v>468</v>
      </c>
      <c r="E66" s="26">
        <v>33</v>
      </c>
      <c r="F66" s="28" t="s">
        <v>467</v>
      </c>
      <c r="G66" s="26" t="s">
        <v>93</v>
      </c>
      <c r="H66" s="10">
        <v>49</v>
      </c>
      <c r="I66" s="10">
        <v>0</v>
      </c>
      <c r="J66" s="10" t="s">
        <v>29</v>
      </c>
      <c r="K66" s="10" t="s">
        <v>29</v>
      </c>
    </row>
    <row r="67" spans="1:11" s="29" customFormat="1" x14ac:dyDescent="0.2">
      <c r="A67" s="59"/>
      <c r="B67" s="9" t="s">
        <v>452</v>
      </c>
      <c r="C67" s="11" t="s">
        <v>466</v>
      </c>
      <c r="D67" s="9" t="s">
        <v>468</v>
      </c>
      <c r="E67" s="9">
        <v>11</v>
      </c>
      <c r="F67" s="11" t="s">
        <v>469</v>
      </c>
      <c r="G67" s="26">
        <v>35</v>
      </c>
      <c r="H67" s="10">
        <v>49</v>
      </c>
      <c r="I67" s="10">
        <v>0</v>
      </c>
      <c r="J67" s="10" t="s">
        <v>29</v>
      </c>
      <c r="K67" s="10" t="s">
        <v>29</v>
      </c>
    </row>
    <row r="68" spans="1:11" x14ac:dyDescent="0.2">
      <c r="A68" s="59"/>
      <c r="B68" s="9" t="s">
        <v>452</v>
      </c>
      <c r="C68" s="11" t="s">
        <v>169</v>
      </c>
      <c r="D68" s="9" t="s">
        <v>170</v>
      </c>
      <c r="E68" s="9">
        <v>33</v>
      </c>
      <c r="F68" s="11" t="s">
        <v>91</v>
      </c>
      <c r="G68" s="9" t="s">
        <v>97</v>
      </c>
      <c r="H68" s="10">
        <v>49</v>
      </c>
      <c r="I68" s="10">
        <v>0</v>
      </c>
      <c r="J68" s="10" t="s">
        <v>29</v>
      </c>
      <c r="K68" s="10" t="s">
        <v>29</v>
      </c>
    </row>
    <row r="69" spans="1:11" ht="16" x14ac:dyDescent="0.2">
      <c r="A69" s="59"/>
      <c r="B69" s="9" t="s">
        <v>454</v>
      </c>
      <c r="C69" s="11" t="s">
        <v>151</v>
      </c>
      <c r="D69" s="9" t="s">
        <v>152</v>
      </c>
      <c r="E69" s="9">
        <v>33</v>
      </c>
      <c r="F69" s="12" t="s">
        <v>89</v>
      </c>
      <c r="G69" s="9" t="s">
        <v>93</v>
      </c>
      <c r="H69" s="10">
        <v>49</v>
      </c>
      <c r="I69" s="10">
        <v>0</v>
      </c>
      <c r="J69" s="10" t="s">
        <v>29</v>
      </c>
      <c r="K69" s="10" t="s">
        <v>29</v>
      </c>
    </row>
    <row r="70" spans="1:11" x14ac:dyDescent="0.2">
      <c r="A70" s="59"/>
      <c r="B70" s="9" t="s">
        <v>454</v>
      </c>
      <c r="C70" s="11" t="s">
        <v>163</v>
      </c>
      <c r="D70" s="9" t="s">
        <v>164</v>
      </c>
      <c r="E70" s="9">
        <v>33</v>
      </c>
      <c r="F70" s="11" t="s">
        <v>91</v>
      </c>
      <c r="G70" s="9" t="s">
        <v>97</v>
      </c>
      <c r="H70" s="10">
        <v>49</v>
      </c>
      <c r="I70" s="10">
        <v>0</v>
      </c>
      <c r="J70" s="10" t="s">
        <v>29</v>
      </c>
      <c r="K70" s="10" t="s">
        <v>29</v>
      </c>
    </row>
    <row r="71" spans="1:11" x14ac:dyDescent="0.2">
      <c r="A71" s="59"/>
      <c r="B71" s="9" t="s">
        <v>454</v>
      </c>
      <c r="C71" s="11" t="s">
        <v>165</v>
      </c>
      <c r="D71" s="9" t="s">
        <v>166</v>
      </c>
      <c r="E71" s="9">
        <v>33</v>
      </c>
      <c r="F71" s="11" t="s">
        <v>89</v>
      </c>
      <c r="G71" s="9" t="s">
        <v>93</v>
      </c>
      <c r="H71" s="10">
        <v>49</v>
      </c>
      <c r="I71" s="10">
        <v>0</v>
      </c>
      <c r="J71" s="10" t="s">
        <v>29</v>
      </c>
      <c r="K71" s="10" t="s">
        <v>29</v>
      </c>
    </row>
    <row r="72" spans="1:11" x14ac:dyDescent="0.2">
      <c r="A72" s="59"/>
      <c r="B72" s="9" t="s">
        <v>454</v>
      </c>
      <c r="C72" s="11" t="s">
        <v>171</v>
      </c>
      <c r="D72" s="9" t="s">
        <v>172</v>
      </c>
      <c r="E72" s="9">
        <v>33</v>
      </c>
      <c r="F72" s="11" t="s">
        <v>89</v>
      </c>
      <c r="G72" s="9" t="s">
        <v>93</v>
      </c>
      <c r="H72" s="10">
        <v>49</v>
      </c>
      <c r="I72" s="10">
        <v>0</v>
      </c>
      <c r="J72" s="10" t="s">
        <v>29</v>
      </c>
      <c r="K72" s="10" t="s">
        <v>29</v>
      </c>
    </row>
    <row r="73" spans="1:11" x14ac:dyDescent="0.2">
      <c r="A73" s="59"/>
      <c r="B73" s="9" t="s">
        <v>454</v>
      </c>
      <c r="C73" s="11" t="s">
        <v>173</v>
      </c>
      <c r="D73" s="9" t="s">
        <v>174</v>
      </c>
      <c r="E73" s="9">
        <v>33</v>
      </c>
      <c r="F73" s="11" t="s">
        <v>91</v>
      </c>
      <c r="G73" s="9" t="s">
        <v>97</v>
      </c>
      <c r="H73" s="10">
        <v>49</v>
      </c>
      <c r="I73" s="10">
        <v>0</v>
      </c>
      <c r="J73" s="10" t="s">
        <v>29</v>
      </c>
      <c r="K73" s="10" t="s">
        <v>29</v>
      </c>
    </row>
    <row r="74" spans="1:11" x14ac:dyDescent="0.2">
      <c r="A74" s="56" t="str">
        <f>CONCATENATE("Stage 4: 48.9Hz " &amp; CHAR(10) )</f>
        <v xml:space="preserve">Stage 4: 48.9Hz 
</v>
      </c>
      <c r="B74" s="6" t="s">
        <v>186</v>
      </c>
      <c r="C74" s="5" t="s">
        <v>186</v>
      </c>
      <c r="D74" s="6" t="s">
        <v>187</v>
      </c>
      <c r="E74" s="6">
        <v>33</v>
      </c>
      <c r="F74" s="5" t="s">
        <v>206</v>
      </c>
      <c r="G74" s="6" t="s">
        <v>207</v>
      </c>
      <c r="H74" s="7">
        <v>48.9</v>
      </c>
      <c r="I74" s="7">
        <v>0</v>
      </c>
      <c r="J74" s="7" t="s">
        <v>29</v>
      </c>
      <c r="K74" s="7" t="s">
        <v>29</v>
      </c>
    </row>
    <row r="75" spans="1:11" s="2" customFormat="1" x14ac:dyDescent="0.2">
      <c r="A75" s="56"/>
      <c r="B75" s="17" t="s">
        <v>39</v>
      </c>
      <c r="C75" s="19" t="s">
        <v>473</v>
      </c>
      <c r="D75" s="17" t="s">
        <v>188</v>
      </c>
      <c r="E75" s="17">
        <v>33</v>
      </c>
      <c r="F75" s="19" t="s">
        <v>89</v>
      </c>
      <c r="G75" s="17" t="s">
        <v>93</v>
      </c>
      <c r="H75" s="18">
        <v>48.9</v>
      </c>
      <c r="I75" s="18">
        <v>0</v>
      </c>
      <c r="J75" s="18" t="s">
        <v>29</v>
      </c>
      <c r="K75" s="18" t="s">
        <v>29</v>
      </c>
    </row>
    <row r="76" spans="1:11" s="2" customFormat="1" x14ac:dyDescent="0.2">
      <c r="A76" s="56"/>
      <c r="B76" s="17" t="s">
        <v>453</v>
      </c>
      <c r="C76" s="19" t="s">
        <v>189</v>
      </c>
      <c r="D76" s="17" t="s">
        <v>190</v>
      </c>
      <c r="E76" s="17">
        <v>33</v>
      </c>
      <c r="F76" s="19" t="s">
        <v>89</v>
      </c>
      <c r="G76" s="17" t="s">
        <v>93</v>
      </c>
      <c r="H76" s="18">
        <v>48.9</v>
      </c>
      <c r="I76" s="18">
        <v>0</v>
      </c>
      <c r="J76" s="18" t="s">
        <v>29</v>
      </c>
      <c r="K76" s="18" t="s">
        <v>29</v>
      </c>
    </row>
    <row r="77" spans="1:11" x14ac:dyDescent="0.2">
      <c r="A77" s="56"/>
      <c r="B77" s="6" t="s">
        <v>453</v>
      </c>
      <c r="C77" s="5" t="s">
        <v>21</v>
      </c>
      <c r="D77" s="6" t="s">
        <v>22</v>
      </c>
      <c r="E77" s="6">
        <v>22</v>
      </c>
      <c r="F77" s="5" t="s">
        <v>88</v>
      </c>
      <c r="G77" s="6" t="s">
        <v>93</v>
      </c>
      <c r="H77" s="7">
        <v>48.9</v>
      </c>
      <c r="I77" s="7">
        <v>0</v>
      </c>
      <c r="J77" s="7" t="s">
        <v>29</v>
      </c>
      <c r="K77" s="7" t="s">
        <v>29</v>
      </c>
    </row>
    <row r="78" spans="1:11" x14ac:dyDescent="0.2">
      <c r="A78" s="56"/>
      <c r="B78" s="6" t="s">
        <v>453</v>
      </c>
      <c r="C78" s="5" t="s">
        <v>21</v>
      </c>
      <c r="D78" s="6" t="s">
        <v>22</v>
      </c>
      <c r="E78" s="6">
        <v>22</v>
      </c>
      <c r="F78" s="5" t="s">
        <v>204</v>
      </c>
      <c r="G78" s="6" t="s">
        <v>208</v>
      </c>
      <c r="H78" s="7">
        <v>48.9</v>
      </c>
      <c r="I78" s="7">
        <v>0</v>
      </c>
      <c r="J78" s="7" t="s">
        <v>29</v>
      </c>
      <c r="K78" s="7" t="s">
        <v>29</v>
      </c>
    </row>
    <row r="79" spans="1:11" x14ac:dyDescent="0.2">
      <c r="A79" s="56"/>
      <c r="B79" s="6" t="s">
        <v>39</v>
      </c>
      <c r="C79" s="5" t="s">
        <v>199</v>
      </c>
      <c r="D79" s="6" t="s">
        <v>200</v>
      </c>
      <c r="E79" s="6">
        <v>33</v>
      </c>
      <c r="F79" s="5" t="s">
        <v>89</v>
      </c>
      <c r="G79" s="6" t="s">
        <v>93</v>
      </c>
      <c r="H79" s="7">
        <v>48.9</v>
      </c>
      <c r="I79" s="7">
        <v>0</v>
      </c>
      <c r="J79" s="7" t="s">
        <v>29</v>
      </c>
      <c r="K79" s="7" t="s">
        <v>29</v>
      </c>
    </row>
    <row r="80" spans="1:11" x14ac:dyDescent="0.2">
      <c r="A80" s="56"/>
      <c r="B80" s="6" t="s">
        <v>39</v>
      </c>
      <c r="C80" s="5" t="s">
        <v>193</v>
      </c>
      <c r="D80" s="6" t="s">
        <v>194</v>
      </c>
      <c r="E80" s="6">
        <v>33</v>
      </c>
      <c r="F80" s="5" t="s">
        <v>89</v>
      </c>
      <c r="G80" s="6" t="s">
        <v>93</v>
      </c>
      <c r="H80" s="7">
        <v>48.9</v>
      </c>
      <c r="I80" s="7">
        <v>0</v>
      </c>
      <c r="J80" s="7" t="s">
        <v>29</v>
      </c>
      <c r="K80" s="7" t="s">
        <v>29</v>
      </c>
    </row>
    <row r="81" spans="1:11" s="2" customFormat="1" x14ac:dyDescent="0.2">
      <c r="A81" s="56"/>
      <c r="B81" s="17" t="s">
        <v>454</v>
      </c>
      <c r="C81" s="19" t="s">
        <v>197</v>
      </c>
      <c r="D81" s="17" t="s">
        <v>198</v>
      </c>
      <c r="E81" s="17">
        <v>33</v>
      </c>
      <c r="F81" s="19" t="s">
        <v>89</v>
      </c>
      <c r="G81" s="17" t="s">
        <v>93</v>
      </c>
      <c r="H81" s="18">
        <v>48.9</v>
      </c>
      <c r="I81" s="18">
        <v>0</v>
      </c>
      <c r="J81" s="18" t="s">
        <v>29</v>
      </c>
      <c r="K81" s="18" t="s">
        <v>29</v>
      </c>
    </row>
    <row r="82" spans="1:11" x14ac:dyDescent="0.2">
      <c r="A82" s="56"/>
      <c r="B82" s="6" t="s">
        <v>454</v>
      </c>
      <c r="C82" s="5" t="s">
        <v>191</v>
      </c>
      <c r="D82" s="6" t="s">
        <v>192</v>
      </c>
      <c r="E82" s="6">
        <v>33</v>
      </c>
      <c r="F82" s="5" t="s">
        <v>89</v>
      </c>
      <c r="G82" s="6" t="s">
        <v>93</v>
      </c>
      <c r="H82" s="7">
        <v>48.9</v>
      </c>
      <c r="I82" s="7">
        <v>0</v>
      </c>
      <c r="J82" s="7" t="s">
        <v>29</v>
      </c>
      <c r="K82" s="7" t="s">
        <v>29</v>
      </c>
    </row>
    <row r="83" spans="1:11" ht="16" x14ac:dyDescent="0.2">
      <c r="A83" s="56"/>
      <c r="B83" s="6" t="s">
        <v>454</v>
      </c>
      <c r="C83" s="5" t="s">
        <v>184</v>
      </c>
      <c r="D83" s="6" t="s">
        <v>185</v>
      </c>
      <c r="E83" s="6">
        <v>33</v>
      </c>
      <c r="F83" s="24" t="s">
        <v>89</v>
      </c>
      <c r="G83" s="6" t="s">
        <v>179</v>
      </c>
      <c r="H83" s="7">
        <v>48.9</v>
      </c>
      <c r="I83" s="7">
        <v>0</v>
      </c>
      <c r="J83" s="7" t="s">
        <v>29</v>
      </c>
      <c r="K83" s="7" t="s">
        <v>29</v>
      </c>
    </row>
    <row r="84" spans="1:11" s="2" customFormat="1" ht="16" x14ac:dyDescent="0.2">
      <c r="A84" s="56"/>
      <c r="B84" s="17" t="s">
        <v>457</v>
      </c>
      <c r="C84" s="19" t="s">
        <v>195</v>
      </c>
      <c r="D84" s="17" t="s">
        <v>196</v>
      </c>
      <c r="E84" s="17">
        <v>33</v>
      </c>
      <c r="F84" s="33" t="s">
        <v>89</v>
      </c>
      <c r="G84" s="17" t="s">
        <v>93</v>
      </c>
      <c r="H84" s="18">
        <v>48.9</v>
      </c>
      <c r="I84" s="18">
        <v>0</v>
      </c>
      <c r="J84" s="18" t="s">
        <v>29</v>
      </c>
      <c r="K84" s="18" t="s">
        <v>29</v>
      </c>
    </row>
    <row r="85" spans="1:11" x14ac:dyDescent="0.2">
      <c r="A85" s="56"/>
      <c r="B85" s="6" t="s">
        <v>457</v>
      </c>
      <c r="C85" s="5" t="s">
        <v>201</v>
      </c>
      <c r="D85" s="6" t="s">
        <v>202</v>
      </c>
      <c r="E85" s="6">
        <v>11</v>
      </c>
      <c r="F85" s="5" t="s">
        <v>90</v>
      </c>
      <c r="G85" s="8" t="s">
        <v>96</v>
      </c>
      <c r="H85" s="7">
        <v>48.9</v>
      </c>
      <c r="I85" s="7">
        <v>0</v>
      </c>
      <c r="J85" s="7" t="s">
        <v>29</v>
      </c>
      <c r="K85" s="7" t="s">
        <v>29</v>
      </c>
    </row>
    <row r="86" spans="1:11" x14ac:dyDescent="0.2">
      <c r="A86" s="56"/>
      <c r="B86" s="6" t="s">
        <v>455</v>
      </c>
      <c r="C86" s="5" t="s">
        <v>203</v>
      </c>
      <c r="D86" s="6" t="s">
        <v>16</v>
      </c>
      <c r="E86" s="6">
        <v>11</v>
      </c>
      <c r="F86" s="5" t="s">
        <v>205</v>
      </c>
      <c r="G86" s="8" t="s">
        <v>209</v>
      </c>
      <c r="H86" s="7">
        <v>48.9</v>
      </c>
      <c r="I86" s="7">
        <v>0</v>
      </c>
      <c r="J86" s="7" t="s">
        <v>29</v>
      </c>
      <c r="K86" s="7" t="s">
        <v>29</v>
      </c>
    </row>
    <row r="87" spans="1:11" x14ac:dyDescent="0.2">
      <c r="A87" s="58" t="str">
        <f>CONCATENATE("Stage 5: 48.8Hz " &amp; CHAR(10) )</f>
        <v xml:space="preserve">Stage 5: 48.8Hz 
</v>
      </c>
      <c r="B87" s="9" t="s">
        <v>458</v>
      </c>
      <c r="C87" s="11" t="s">
        <v>210</v>
      </c>
      <c r="D87" s="9" t="s">
        <v>211</v>
      </c>
      <c r="E87" s="9">
        <v>11</v>
      </c>
      <c r="F87" s="11" t="s">
        <v>90</v>
      </c>
      <c r="G87" s="9" t="s">
        <v>96</v>
      </c>
      <c r="H87" s="10">
        <v>48.8</v>
      </c>
      <c r="I87" s="10">
        <v>0</v>
      </c>
      <c r="J87" s="10" t="s">
        <v>29</v>
      </c>
      <c r="K87" s="10" t="s">
        <v>29</v>
      </c>
    </row>
    <row r="88" spans="1:11" x14ac:dyDescent="0.2">
      <c r="A88" s="58"/>
      <c r="B88" s="9" t="s">
        <v>454</v>
      </c>
      <c r="C88" s="11" t="s">
        <v>212</v>
      </c>
      <c r="D88" s="9" t="s">
        <v>213</v>
      </c>
      <c r="E88" s="9">
        <v>33</v>
      </c>
      <c r="F88" s="11" t="s">
        <v>89</v>
      </c>
      <c r="G88" s="9" t="s">
        <v>93</v>
      </c>
      <c r="H88" s="10">
        <v>48.8</v>
      </c>
      <c r="I88" s="10">
        <v>0</v>
      </c>
      <c r="J88" s="10" t="s">
        <v>29</v>
      </c>
      <c r="K88" s="10" t="s">
        <v>29</v>
      </c>
    </row>
    <row r="89" spans="1:11" x14ac:dyDescent="0.2">
      <c r="A89" s="58"/>
      <c r="B89" s="9" t="s">
        <v>39</v>
      </c>
      <c r="C89" s="11" t="s">
        <v>214</v>
      </c>
      <c r="D89" s="9" t="s">
        <v>215</v>
      </c>
      <c r="E89" s="9">
        <v>33</v>
      </c>
      <c r="F89" s="11" t="s">
        <v>89</v>
      </c>
      <c r="G89" s="9" t="s">
        <v>93</v>
      </c>
      <c r="H89" s="10">
        <v>48.8</v>
      </c>
      <c r="I89" s="10">
        <v>0</v>
      </c>
      <c r="J89" s="10" t="s">
        <v>29</v>
      </c>
      <c r="K89" s="10" t="s">
        <v>29</v>
      </c>
    </row>
    <row r="90" spans="1:11" x14ac:dyDescent="0.2">
      <c r="A90" s="58"/>
      <c r="B90" s="9" t="s">
        <v>39</v>
      </c>
      <c r="C90" s="11" t="s">
        <v>216</v>
      </c>
      <c r="D90" s="9" t="s">
        <v>217</v>
      </c>
      <c r="E90" s="9">
        <v>33</v>
      </c>
      <c r="F90" s="11" t="s">
        <v>91</v>
      </c>
      <c r="G90" s="9" t="s">
        <v>97</v>
      </c>
      <c r="H90" s="10">
        <v>48.8</v>
      </c>
      <c r="I90" s="10">
        <v>0</v>
      </c>
      <c r="J90" s="10" t="s">
        <v>29</v>
      </c>
      <c r="K90" s="10" t="s">
        <v>29</v>
      </c>
    </row>
    <row r="91" spans="1:11" x14ac:dyDescent="0.2">
      <c r="A91" s="58"/>
      <c r="B91" s="9" t="s">
        <v>39</v>
      </c>
      <c r="C91" s="11" t="s">
        <v>235</v>
      </c>
      <c r="D91" s="9" t="s">
        <v>236</v>
      </c>
      <c r="E91" s="9">
        <v>33</v>
      </c>
      <c r="F91" s="11" t="s">
        <v>89</v>
      </c>
      <c r="G91" s="9" t="s">
        <v>93</v>
      </c>
      <c r="H91" s="10">
        <v>48.8</v>
      </c>
      <c r="I91" s="10">
        <v>0</v>
      </c>
      <c r="J91" s="10" t="s">
        <v>29</v>
      </c>
      <c r="K91" s="10" t="s">
        <v>29</v>
      </c>
    </row>
    <row r="92" spans="1:11" x14ac:dyDescent="0.2">
      <c r="A92" s="58"/>
      <c r="B92" s="9" t="s">
        <v>456</v>
      </c>
      <c r="C92" s="11" t="s">
        <v>218</v>
      </c>
      <c r="D92" s="9" t="s">
        <v>219</v>
      </c>
      <c r="E92" s="9">
        <v>132</v>
      </c>
      <c r="F92" s="11" t="s">
        <v>237</v>
      </c>
      <c r="G92" s="20" t="s">
        <v>38</v>
      </c>
      <c r="H92" s="10">
        <v>48.8</v>
      </c>
      <c r="I92" s="10">
        <v>0</v>
      </c>
      <c r="J92" s="10" t="s">
        <v>29</v>
      </c>
      <c r="K92" s="10" t="s">
        <v>29</v>
      </c>
    </row>
    <row r="93" spans="1:11" x14ac:dyDescent="0.2">
      <c r="A93" s="58"/>
      <c r="B93" s="9" t="s">
        <v>457</v>
      </c>
      <c r="C93" s="11" t="s">
        <v>220</v>
      </c>
      <c r="D93" s="9" t="s">
        <v>221</v>
      </c>
      <c r="E93" s="9">
        <v>132</v>
      </c>
      <c r="F93" s="11" t="s">
        <v>238</v>
      </c>
      <c r="G93" s="20" t="s">
        <v>38</v>
      </c>
      <c r="H93" s="10">
        <v>48.8</v>
      </c>
      <c r="I93" s="10">
        <v>0</v>
      </c>
      <c r="J93" s="10" t="s">
        <v>29</v>
      </c>
      <c r="K93" s="10" t="s">
        <v>29</v>
      </c>
    </row>
    <row r="94" spans="1:11" x14ac:dyDescent="0.2">
      <c r="A94" s="58"/>
      <c r="B94" s="9" t="s">
        <v>457</v>
      </c>
      <c r="C94" s="11" t="s">
        <v>222</v>
      </c>
      <c r="D94" s="9" t="s">
        <v>223</v>
      </c>
      <c r="E94" s="9">
        <v>132</v>
      </c>
      <c r="F94" s="11" t="s">
        <v>239</v>
      </c>
      <c r="G94" s="9" t="s">
        <v>38</v>
      </c>
      <c r="H94" s="10">
        <v>48.8</v>
      </c>
      <c r="I94" s="10">
        <v>0</v>
      </c>
      <c r="J94" s="10" t="s">
        <v>29</v>
      </c>
      <c r="K94" s="10" t="s">
        <v>29</v>
      </c>
    </row>
    <row r="95" spans="1:11" x14ac:dyDescent="0.2">
      <c r="A95" s="58"/>
      <c r="B95" s="9" t="s">
        <v>457</v>
      </c>
      <c r="C95" s="11" t="s">
        <v>224</v>
      </c>
      <c r="D95" s="9" t="s">
        <v>225</v>
      </c>
      <c r="E95" s="9">
        <v>132</v>
      </c>
      <c r="F95" s="11" t="s">
        <v>240</v>
      </c>
      <c r="G95" s="9" t="s">
        <v>33</v>
      </c>
      <c r="H95" s="10">
        <v>48.8</v>
      </c>
      <c r="I95" s="10">
        <v>0</v>
      </c>
      <c r="J95" s="10" t="s">
        <v>29</v>
      </c>
      <c r="K95" s="10" t="s">
        <v>29</v>
      </c>
    </row>
    <row r="96" spans="1:11" x14ac:dyDescent="0.2">
      <c r="A96" s="58"/>
      <c r="B96" s="9" t="s">
        <v>455</v>
      </c>
      <c r="C96" s="11" t="s">
        <v>226</v>
      </c>
      <c r="D96" s="9" t="s">
        <v>227</v>
      </c>
      <c r="E96" s="9">
        <v>132</v>
      </c>
      <c r="F96" s="11" t="s">
        <v>242</v>
      </c>
      <c r="G96" s="9" t="s">
        <v>241</v>
      </c>
      <c r="H96" s="10">
        <v>48.8</v>
      </c>
      <c r="I96" s="10">
        <v>0</v>
      </c>
      <c r="J96" s="10" t="s">
        <v>29</v>
      </c>
      <c r="K96" s="10" t="s">
        <v>29</v>
      </c>
    </row>
    <row r="97" spans="1:11" s="2" customFormat="1" x14ac:dyDescent="0.2">
      <c r="A97" s="58"/>
      <c r="B97" s="22" t="s">
        <v>455</v>
      </c>
      <c r="C97" s="21" t="s">
        <v>228</v>
      </c>
      <c r="D97" s="22" t="s">
        <v>123</v>
      </c>
      <c r="E97" s="22">
        <v>132</v>
      </c>
      <c r="F97" s="21" t="s">
        <v>243</v>
      </c>
      <c r="G97" s="22" t="s">
        <v>244</v>
      </c>
      <c r="H97" s="23">
        <v>48.8</v>
      </c>
      <c r="I97" s="23">
        <v>0</v>
      </c>
      <c r="J97" s="23" t="s">
        <v>29</v>
      </c>
      <c r="K97" s="23" t="s">
        <v>29</v>
      </c>
    </row>
    <row r="98" spans="1:11" x14ac:dyDescent="0.2">
      <c r="A98" s="58"/>
      <c r="B98" s="9" t="s">
        <v>452</v>
      </c>
      <c r="C98" s="11" t="s">
        <v>229</v>
      </c>
      <c r="D98" s="9" t="s">
        <v>230</v>
      </c>
      <c r="E98" s="9">
        <v>33</v>
      </c>
      <c r="F98" s="11" t="s">
        <v>91</v>
      </c>
      <c r="G98" s="20" t="s">
        <v>97</v>
      </c>
      <c r="H98" s="10">
        <v>48.8</v>
      </c>
      <c r="I98" s="10">
        <v>0</v>
      </c>
      <c r="J98" s="10" t="s">
        <v>29</v>
      </c>
      <c r="K98" s="10" t="s">
        <v>29</v>
      </c>
    </row>
    <row r="99" spans="1:11" x14ac:dyDescent="0.2">
      <c r="A99" s="58"/>
      <c r="B99" s="9" t="s">
        <v>452</v>
      </c>
      <c r="C99" s="11" t="s">
        <v>231</v>
      </c>
      <c r="D99" s="9" t="s">
        <v>232</v>
      </c>
      <c r="E99" s="9">
        <v>11</v>
      </c>
      <c r="F99" s="11" t="s">
        <v>90</v>
      </c>
      <c r="G99" s="9" t="s">
        <v>96</v>
      </c>
      <c r="H99" s="10">
        <v>48.8</v>
      </c>
      <c r="I99" s="10">
        <v>0</v>
      </c>
      <c r="J99" s="10" t="s">
        <v>29</v>
      </c>
      <c r="K99" s="10" t="s">
        <v>29</v>
      </c>
    </row>
    <row r="100" spans="1:11" x14ac:dyDescent="0.2">
      <c r="A100" s="58"/>
      <c r="B100" s="9" t="s">
        <v>452</v>
      </c>
      <c r="C100" s="11" t="s">
        <v>233</v>
      </c>
      <c r="D100" s="9" t="s">
        <v>234</v>
      </c>
      <c r="E100" s="9">
        <v>33</v>
      </c>
      <c r="F100" s="11" t="s">
        <v>89</v>
      </c>
      <c r="G100" s="9" t="s">
        <v>93</v>
      </c>
      <c r="H100" s="10">
        <v>48.8</v>
      </c>
      <c r="I100" s="10">
        <v>0</v>
      </c>
      <c r="J100" s="10" t="s">
        <v>29</v>
      </c>
      <c r="K100" s="10" t="s">
        <v>29</v>
      </c>
    </row>
    <row r="101" spans="1:11" x14ac:dyDescent="0.2">
      <c r="A101" s="56" t="str">
        <f>CONCATENATE("Stage 6: 48.7Hz " &amp; CHAR(10) )</f>
        <v xml:space="preserve">Stage 6: 48.7Hz 
</v>
      </c>
      <c r="B101" s="6" t="s">
        <v>101</v>
      </c>
      <c r="C101" s="5" t="s">
        <v>249</v>
      </c>
      <c r="D101" s="6" t="s">
        <v>250</v>
      </c>
      <c r="E101" s="6">
        <v>33</v>
      </c>
      <c r="F101" s="5" t="s">
        <v>89</v>
      </c>
      <c r="G101" s="6" t="s">
        <v>93</v>
      </c>
      <c r="H101" s="7">
        <v>48.7</v>
      </c>
      <c r="I101" s="7">
        <v>0</v>
      </c>
      <c r="J101" s="7" t="s">
        <v>29</v>
      </c>
      <c r="K101" s="7" t="s">
        <v>29</v>
      </c>
    </row>
    <row r="102" spans="1:11" x14ac:dyDescent="0.2">
      <c r="A102" s="56"/>
      <c r="B102" s="6" t="s">
        <v>101</v>
      </c>
      <c r="C102" s="5" t="s">
        <v>267</v>
      </c>
      <c r="D102" s="6" t="s">
        <v>268</v>
      </c>
      <c r="E102" s="6">
        <v>33</v>
      </c>
      <c r="F102" s="5" t="s">
        <v>91</v>
      </c>
      <c r="G102" s="6" t="s">
        <v>97</v>
      </c>
      <c r="H102" s="7">
        <v>48.7</v>
      </c>
      <c r="I102" s="7">
        <v>0</v>
      </c>
      <c r="J102" s="7" t="s">
        <v>29</v>
      </c>
      <c r="K102" s="7" t="s">
        <v>29</v>
      </c>
    </row>
    <row r="103" spans="1:11" ht="16" x14ac:dyDescent="0.2">
      <c r="A103" s="56"/>
      <c r="B103" s="6" t="s">
        <v>454</v>
      </c>
      <c r="C103" s="5" t="s">
        <v>271</v>
      </c>
      <c r="D103" s="6" t="s">
        <v>272</v>
      </c>
      <c r="E103" s="6">
        <v>33</v>
      </c>
      <c r="F103" s="24" t="s">
        <v>89</v>
      </c>
      <c r="G103" s="6" t="s">
        <v>93</v>
      </c>
      <c r="H103" s="7">
        <v>48.7</v>
      </c>
      <c r="I103" s="7">
        <v>0</v>
      </c>
      <c r="J103" s="7" t="s">
        <v>29</v>
      </c>
      <c r="K103" s="7" t="s">
        <v>29</v>
      </c>
    </row>
    <row r="104" spans="1:11" x14ac:dyDescent="0.2">
      <c r="A104" s="56"/>
      <c r="B104" s="6" t="s">
        <v>454</v>
      </c>
      <c r="C104" s="5" t="s">
        <v>253</v>
      </c>
      <c r="D104" s="6" t="s">
        <v>254</v>
      </c>
      <c r="E104" s="6">
        <v>33</v>
      </c>
      <c r="F104" s="5" t="s">
        <v>91</v>
      </c>
      <c r="G104" s="6" t="s">
        <v>97</v>
      </c>
      <c r="H104" s="7">
        <v>48.7</v>
      </c>
      <c r="I104" s="7">
        <v>0</v>
      </c>
      <c r="J104" s="7" t="s">
        <v>29</v>
      </c>
      <c r="K104" s="7" t="s">
        <v>29</v>
      </c>
    </row>
    <row r="105" spans="1:11" x14ac:dyDescent="0.2">
      <c r="A105" s="56"/>
      <c r="B105" s="6" t="s">
        <v>421</v>
      </c>
      <c r="C105" s="5" t="s">
        <v>273</v>
      </c>
      <c r="D105" s="6" t="s">
        <v>274</v>
      </c>
      <c r="E105" s="6">
        <v>11</v>
      </c>
      <c r="F105" s="5" t="s">
        <v>90</v>
      </c>
      <c r="G105" s="6" t="s">
        <v>96</v>
      </c>
      <c r="H105" s="7">
        <v>48.7</v>
      </c>
      <c r="I105" s="7">
        <v>0</v>
      </c>
      <c r="J105" s="7" t="s">
        <v>29</v>
      </c>
      <c r="K105" s="7" t="s">
        <v>29</v>
      </c>
    </row>
    <row r="106" spans="1:11" ht="14.5" customHeight="1" x14ac:dyDescent="0.2">
      <c r="A106" s="56"/>
      <c r="B106" s="6" t="s">
        <v>421</v>
      </c>
      <c r="C106" s="5" t="s">
        <v>255</v>
      </c>
      <c r="D106" s="6" t="s">
        <v>256</v>
      </c>
      <c r="E106" s="6">
        <v>132</v>
      </c>
      <c r="F106" s="5" t="s">
        <v>276</v>
      </c>
      <c r="G106" s="6" t="s">
        <v>38</v>
      </c>
      <c r="H106" s="7">
        <v>48.7</v>
      </c>
      <c r="I106" s="7">
        <v>0</v>
      </c>
      <c r="J106" s="7" t="s">
        <v>29</v>
      </c>
      <c r="K106" s="7" t="s">
        <v>29</v>
      </c>
    </row>
    <row r="107" spans="1:11" x14ac:dyDescent="0.2">
      <c r="A107" s="56"/>
      <c r="B107" s="48" t="s">
        <v>457</v>
      </c>
      <c r="C107" s="49" t="s">
        <v>222</v>
      </c>
      <c r="D107" s="48" t="s">
        <v>223</v>
      </c>
      <c r="E107" s="48">
        <v>132</v>
      </c>
      <c r="F107" s="49" t="s">
        <v>277</v>
      </c>
      <c r="G107" s="48" t="s">
        <v>182</v>
      </c>
      <c r="H107" s="50">
        <v>48.7</v>
      </c>
      <c r="I107" s="50">
        <v>0</v>
      </c>
      <c r="J107" s="50" t="s">
        <v>29</v>
      </c>
      <c r="K107" s="50" t="s">
        <v>29</v>
      </c>
    </row>
    <row r="108" spans="1:11" x14ac:dyDescent="0.2">
      <c r="A108" s="56"/>
      <c r="B108" s="17" t="s">
        <v>457</v>
      </c>
      <c r="C108" s="19" t="s">
        <v>477</v>
      </c>
      <c r="D108" s="17" t="s">
        <v>478</v>
      </c>
      <c r="E108" s="17">
        <v>132</v>
      </c>
      <c r="F108" s="19" t="s">
        <v>479</v>
      </c>
      <c r="G108" s="17" t="s">
        <v>182</v>
      </c>
      <c r="H108" s="18">
        <v>48.7</v>
      </c>
      <c r="I108" s="18">
        <v>0</v>
      </c>
      <c r="J108" s="18" t="s">
        <v>29</v>
      </c>
      <c r="K108" s="18" t="s">
        <v>29</v>
      </c>
    </row>
    <row r="109" spans="1:11" s="2" customFormat="1" x14ac:dyDescent="0.2">
      <c r="A109" s="56"/>
      <c r="B109" s="17" t="s">
        <v>456</v>
      </c>
      <c r="C109" s="19" t="s">
        <v>259</v>
      </c>
      <c r="D109" s="17" t="s">
        <v>260</v>
      </c>
      <c r="E109" s="17">
        <v>132</v>
      </c>
      <c r="F109" s="19" t="s">
        <v>476</v>
      </c>
      <c r="G109" s="17" t="s">
        <v>33</v>
      </c>
      <c r="H109" s="18">
        <v>48.7</v>
      </c>
      <c r="I109" s="18">
        <v>0</v>
      </c>
      <c r="J109" s="18" t="s">
        <v>29</v>
      </c>
      <c r="K109" s="18" t="s">
        <v>29</v>
      </c>
    </row>
    <row r="110" spans="1:11" s="2" customFormat="1" x14ac:dyDescent="0.2">
      <c r="A110" s="56"/>
      <c r="B110" s="32" t="s">
        <v>456</v>
      </c>
      <c r="C110" s="43" t="s">
        <v>474</v>
      </c>
      <c r="D110" s="32" t="s">
        <v>475</v>
      </c>
      <c r="E110" s="32">
        <v>132</v>
      </c>
      <c r="F110" s="43" t="s">
        <v>262</v>
      </c>
      <c r="G110" s="32">
        <v>205</v>
      </c>
      <c r="H110" s="44">
        <v>48.7</v>
      </c>
      <c r="I110" s="44">
        <v>0</v>
      </c>
      <c r="J110" s="44" t="s">
        <v>29</v>
      </c>
      <c r="K110" s="44" t="s">
        <v>29</v>
      </c>
    </row>
    <row r="111" spans="1:11" s="42" customFormat="1" x14ac:dyDescent="0.2">
      <c r="A111" s="56"/>
      <c r="B111" s="32" t="s">
        <v>456</v>
      </c>
      <c r="C111" s="43" t="s">
        <v>257</v>
      </c>
      <c r="D111" s="32" t="s">
        <v>258</v>
      </c>
      <c r="E111" s="32">
        <v>11</v>
      </c>
      <c r="F111" s="43" t="s">
        <v>90</v>
      </c>
      <c r="G111" s="32" t="s">
        <v>96</v>
      </c>
      <c r="H111" s="44">
        <v>48.7</v>
      </c>
      <c r="I111" s="44">
        <v>0</v>
      </c>
      <c r="J111" s="44" t="s">
        <v>29</v>
      </c>
      <c r="K111" s="44" t="s">
        <v>29</v>
      </c>
    </row>
    <row r="112" spans="1:11" s="42" customFormat="1" x14ac:dyDescent="0.2">
      <c r="A112" s="56"/>
      <c r="B112" s="32" t="s">
        <v>456</v>
      </c>
      <c r="C112" s="43" t="s">
        <v>257</v>
      </c>
      <c r="D112" s="32" t="s">
        <v>258</v>
      </c>
      <c r="E112" s="32">
        <v>33</v>
      </c>
      <c r="F112" s="43" t="s">
        <v>91</v>
      </c>
      <c r="G112" s="32" t="s">
        <v>97</v>
      </c>
      <c r="H112" s="44">
        <v>48.7</v>
      </c>
      <c r="I112" s="44">
        <v>0</v>
      </c>
      <c r="J112" s="44" t="s">
        <v>29</v>
      </c>
      <c r="K112" s="44" t="s">
        <v>29</v>
      </c>
    </row>
    <row r="113" spans="1:11" s="42" customFormat="1" x14ac:dyDescent="0.2">
      <c r="A113" s="56"/>
      <c r="B113" s="45" t="s">
        <v>456</v>
      </c>
      <c r="C113" s="46" t="s">
        <v>261</v>
      </c>
      <c r="D113" s="45" t="s">
        <v>262</v>
      </c>
      <c r="E113" s="45">
        <v>11</v>
      </c>
      <c r="F113" s="46" t="s">
        <v>90</v>
      </c>
      <c r="G113" s="45" t="s">
        <v>96</v>
      </c>
      <c r="H113" s="47">
        <v>48.7</v>
      </c>
      <c r="I113" s="47">
        <v>0</v>
      </c>
      <c r="J113" s="47" t="s">
        <v>29</v>
      </c>
      <c r="K113" s="47" t="s">
        <v>29</v>
      </c>
    </row>
    <row r="114" spans="1:11" s="42" customFormat="1" x14ac:dyDescent="0.2">
      <c r="A114" s="56"/>
      <c r="B114" s="45" t="s">
        <v>456</v>
      </c>
      <c r="C114" s="46" t="s">
        <v>261</v>
      </c>
      <c r="D114" s="45" t="s">
        <v>262</v>
      </c>
      <c r="E114" s="45">
        <v>33</v>
      </c>
      <c r="F114" s="46" t="s">
        <v>91</v>
      </c>
      <c r="G114" s="45" t="s">
        <v>97</v>
      </c>
      <c r="H114" s="47">
        <v>48.7</v>
      </c>
      <c r="I114" s="47">
        <v>0</v>
      </c>
      <c r="J114" s="47" t="s">
        <v>29</v>
      </c>
      <c r="K114" s="47" t="s">
        <v>29</v>
      </c>
    </row>
    <row r="115" spans="1:11" s="2" customFormat="1" x14ac:dyDescent="0.2">
      <c r="A115" s="56"/>
      <c r="B115" s="17" t="s">
        <v>457</v>
      </c>
      <c r="C115" s="19" t="s">
        <v>263</v>
      </c>
      <c r="D115" s="17" t="s">
        <v>264</v>
      </c>
      <c r="E115" s="17">
        <v>11</v>
      </c>
      <c r="F115" s="19" t="s">
        <v>90</v>
      </c>
      <c r="G115" s="17" t="s">
        <v>96</v>
      </c>
      <c r="H115" s="18">
        <v>48.7</v>
      </c>
      <c r="I115" s="18">
        <v>0</v>
      </c>
      <c r="J115" s="18" t="s">
        <v>29</v>
      </c>
      <c r="K115" s="18" t="s">
        <v>29</v>
      </c>
    </row>
    <row r="116" spans="1:11" x14ac:dyDescent="0.2">
      <c r="A116" s="56"/>
      <c r="B116" s="6" t="s">
        <v>39</v>
      </c>
      <c r="C116" s="5" t="s">
        <v>265</v>
      </c>
      <c r="D116" s="6" t="s">
        <v>266</v>
      </c>
      <c r="E116" s="6">
        <v>33</v>
      </c>
      <c r="F116" s="5" t="s">
        <v>278</v>
      </c>
      <c r="G116" s="6" t="s">
        <v>103</v>
      </c>
      <c r="H116" s="7">
        <v>48.7</v>
      </c>
      <c r="I116" s="7">
        <v>0</v>
      </c>
      <c r="J116" s="7" t="s">
        <v>29</v>
      </c>
      <c r="K116" s="7" t="s">
        <v>29</v>
      </c>
    </row>
    <row r="117" spans="1:11" x14ac:dyDescent="0.2">
      <c r="A117" s="56"/>
      <c r="B117" s="6" t="s">
        <v>39</v>
      </c>
      <c r="C117" s="5" t="s">
        <v>251</v>
      </c>
      <c r="D117" s="6" t="s">
        <v>252</v>
      </c>
      <c r="E117" s="6">
        <v>33</v>
      </c>
      <c r="F117" s="5" t="s">
        <v>89</v>
      </c>
      <c r="G117" s="6" t="s">
        <v>275</v>
      </c>
      <c r="H117" s="7">
        <v>48.7</v>
      </c>
      <c r="I117" s="7">
        <v>0</v>
      </c>
      <c r="J117" s="7" t="s">
        <v>29</v>
      </c>
      <c r="K117" s="7" t="s">
        <v>29</v>
      </c>
    </row>
    <row r="118" spans="1:11" x14ac:dyDescent="0.2">
      <c r="A118" s="56"/>
      <c r="B118" s="6" t="s">
        <v>39</v>
      </c>
      <c r="C118" s="5" t="s">
        <v>269</v>
      </c>
      <c r="D118" s="6" t="s">
        <v>270</v>
      </c>
      <c r="E118" s="6">
        <v>11</v>
      </c>
      <c r="F118" s="5" t="s">
        <v>90</v>
      </c>
      <c r="G118" s="6" t="s">
        <v>96</v>
      </c>
      <c r="H118" s="7">
        <v>48.7</v>
      </c>
      <c r="I118" s="7">
        <v>0</v>
      </c>
      <c r="J118" s="7" t="s">
        <v>29</v>
      </c>
      <c r="K118" s="7" t="s">
        <v>29</v>
      </c>
    </row>
    <row r="119" spans="1:11" x14ac:dyDescent="0.2">
      <c r="A119" s="58" t="str">
        <f>CONCATENATE("Stage 7: 48.6Hz " &amp; CHAR(10) )</f>
        <v xml:space="preserve">Stage 7: 48.6Hz 
</v>
      </c>
      <c r="B119" s="9" t="s">
        <v>456</v>
      </c>
      <c r="C119" s="11" t="s">
        <v>279</v>
      </c>
      <c r="D119" s="9" t="s">
        <v>280</v>
      </c>
      <c r="E119" s="9">
        <v>11</v>
      </c>
      <c r="F119" s="11" t="s">
        <v>90</v>
      </c>
      <c r="G119" s="20" t="s">
        <v>96</v>
      </c>
      <c r="H119" s="10">
        <v>48.6</v>
      </c>
      <c r="I119" s="10">
        <v>0</v>
      </c>
      <c r="J119" s="10" t="s">
        <v>29</v>
      </c>
      <c r="K119" s="10" t="s">
        <v>29</v>
      </c>
    </row>
    <row r="120" spans="1:11" x14ac:dyDescent="0.2">
      <c r="A120" s="58"/>
      <c r="B120" s="9" t="s">
        <v>453</v>
      </c>
      <c r="C120" s="11" t="s">
        <v>281</v>
      </c>
      <c r="D120" s="9" t="s">
        <v>282</v>
      </c>
      <c r="E120" s="9">
        <v>22</v>
      </c>
      <c r="F120" s="11" t="s">
        <v>88</v>
      </c>
      <c r="G120" s="9" t="s">
        <v>93</v>
      </c>
      <c r="H120" s="10">
        <v>48.6</v>
      </c>
      <c r="I120" s="10">
        <v>0</v>
      </c>
      <c r="J120" s="10" t="s">
        <v>29</v>
      </c>
      <c r="K120" s="10" t="s">
        <v>29</v>
      </c>
    </row>
    <row r="121" spans="1:11" s="42" customFormat="1" x14ac:dyDescent="0.2">
      <c r="A121" s="58"/>
      <c r="B121" s="31" t="s">
        <v>453</v>
      </c>
      <c r="C121" s="39" t="s">
        <v>302</v>
      </c>
      <c r="D121" s="31" t="s">
        <v>303</v>
      </c>
      <c r="E121" s="31">
        <v>22</v>
      </c>
      <c r="F121" s="39" t="s">
        <v>304</v>
      </c>
      <c r="G121" s="31" t="s">
        <v>318</v>
      </c>
      <c r="H121" s="41">
        <v>48.6</v>
      </c>
      <c r="I121" s="41">
        <v>0</v>
      </c>
      <c r="J121" s="41" t="s">
        <v>29</v>
      </c>
      <c r="K121" s="41" t="s">
        <v>29</v>
      </c>
    </row>
    <row r="122" spans="1:11" x14ac:dyDescent="0.2">
      <c r="A122" s="58"/>
      <c r="B122" s="9" t="s">
        <v>453</v>
      </c>
      <c r="C122" s="11" t="s">
        <v>288</v>
      </c>
      <c r="D122" s="9" t="s">
        <v>289</v>
      </c>
      <c r="E122" s="9">
        <v>22</v>
      </c>
      <c r="F122" s="11" t="s">
        <v>88</v>
      </c>
      <c r="G122" s="9" t="s">
        <v>93</v>
      </c>
      <c r="H122" s="10">
        <v>48.6</v>
      </c>
      <c r="I122" s="10">
        <v>0</v>
      </c>
      <c r="J122" s="10" t="s">
        <v>29</v>
      </c>
      <c r="K122" s="10" t="s">
        <v>29</v>
      </c>
    </row>
    <row r="123" spans="1:11" x14ac:dyDescent="0.2">
      <c r="A123" s="58"/>
      <c r="B123" s="9" t="s">
        <v>455</v>
      </c>
      <c r="C123" s="11" t="s">
        <v>228</v>
      </c>
      <c r="D123" s="9" t="s">
        <v>123</v>
      </c>
      <c r="E123" s="9">
        <v>132</v>
      </c>
      <c r="F123" s="11" t="s">
        <v>319</v>
      </c>
      <c r="G123" s="9">
        <v>605</v>
      </c>
      <c r="H123" s="10">
        <v>48.6</v>
      </c>
      <c r="I123" s="10">
        <v>0</v>
      </c>
      <c r="J123" s="10" t="s">
        <v>29</v>
      </c>
      <c r="K123" s="10" t="s">
        <v>29</v>
      </c>
    </row>
    <row r="124" spans="1:11" x14ac:dyDescent="0.2">
      <c r="A124" s="58"/>
      <c r="B124" s="9" t="s">
        <v>455</v>
      </c>
      <c r="C124" s="11" t="s">
        <v>286</v>
      </c>
      <c r="D124" s="9" t="s">
        <v>287</v>
      </c>
      <c r="E124" s="9">
        <v>132</v>
      </c>
      <c r="F124" s="11" t="s">
        <v>320</v>
      </c>
      <c r="G124" s="9">
        <v>205</v>
      </c>
      <c r="H124" s="10">
        <v>48.6</v>
      </c>
      <c r="I124" s="10">
        <v>0</v>
      </c>
      <c r="J124" s="10" t="s">
        <v>29</v>
      </c>
      <c r="K124" s="10" t="s">
        <v>29</v>
      </c>
    </row>
    <row r="125" spans="1:11" x14ac:dyDescent="0.2">
      <c r="A125" s="58"/>
      <c r="B125" s="9" t="s">
        <v>452</v>
      </c>
      <c r="C125" s="11" t="s">
        <v>292</v>
      </c>
      <c r="D125" s="9" t="s">
        <v>293</v>
      </c>
      <c r="E125" s="9">
        <v>33</v>
      </c>
      <c r="F125" s="11" t="s">
        <v>321</v>
      </c>
      <c r="G125" s="9" t="s">
        <v>103</v>
      </c>
      <c r="H125" s="10">
        <v>48.6</v>
      </c>
      <c r="I125" s="10">
        <v>0</v>
      </c>
      <c r="J125" s="10" t="s">
        <v>29</v>
      </c>
      <c r="K125" s="10" t="s">
        <v>29</v>
      </c>
    </row>
    <row r="126" spans="1:11" ht="16" x14ac:dyDescent="0.2">
      <c r="A126" s="58"/>
      <c r="B126" s="9" t="s">
        <v>452</v>
      </c>
      <c r="C126" s="11" t="s">
        <v>296</v>
      </c>
      <c r="D126" s="9" t="s">
        <v>297</v>
      </c>
      <c r="E126" s="9">
        <v>33</v>
      </c>
      <c r="F126" s="12" t="s">
        <v>89</v>
      </c>
      <c r="G126" s="9" t="s">
        <v>93</v>
      </c>
      <c r="H126" s="10">
        <v>48.6</v>
      </c>
      <c r="I126" s="10">
        <v>0</v>
      </c>
      <c r="J126" s="10" t="s">
        <v>29</v>
      </c>
      <c r="K126" s="10" t="s">
        <v>29</v>
      </c>
    </row>
    <row r="127" spans="1:11" ht="16" x14ac:dyDescent="0.2">
      <c r="A127" s="58"/>
      <c r="B127" s="9" t="s">
        <v>452</v>
      </c>
      <c r="C127" s="11" t="s">
        <v>298</v>
      </c>
      <c r="D127" s="9" t="s">
        <v>299</v>
      </c>
      <c r="E127" s="9">
        <v>33</v>
      </c>
      <c r="F127" s="12" t="s">
        <v>89</v>
      </c>
      <c r="G127" s="9" t="s">
        <v>93</v>
      </c>
      <c r="H127" s="10">
        <v>48.6</v>
      </c>
      <c r="I127" s="10">
        <v>0</v>
      </c>
      <c r="J127" s="10" t="s">
        <v>29</v>
      </c>
      <c r="K127" s="10" t="s">
        <v>29</v>
      </c>
    </row>
    <row r="128" spans="1:11" x14ac:dyDescent="0.2">
      <c r="A128" s="58"/>
      <c r="B128" s="9" t="s">
        <v>322</v>
      </c>
      <c r="C128" s="11" t="s">
        <v>300</v>
      </c>
      <c r="D128" s="9" t="s">
        <v>301</v>
      </c>
      <c r="E128" s="9">
        <v>33</v>
      </c>
      <c r="F128" s="11" t="s">
        <v>91</v>
      </c>
      <c r="G128" s="9" t="s">
        <v>97</v>
      </c>
      <c r="H128" s="10">
        <v>48.6</v>
      </c>
      <c r="I128" s="10">
        <v>0</v>
      </c>
      <c r="J128" s="10" t="s">
        <v>29</v>
      </c>
      <c r="K128" s="10" t="s">
        <v>29</v>
      </c>
    </row>
    <row r="129" spans="1:11" ht="16" x14ac:dyDescent="0.2">
      <c r="A129" s="58"/>
      <c r="B129" s="9" t="s">
        <v>39</v>
      </c>
      <c r="C129" s="11" t="s">
        <v>294</v>
      </c>
      <c r="D129" s="9" t="s">
        <v>295</v>
      </c>
      <c r="E129" s="9">
        <v>33</v>
      </c>
      <c r="F129" s="12" t="s">
        <v>91</v>
      </c>
      <c r="G129" s="9" t="s">
        <v>97</v>
      </c>
      <c r="H129" s="10">
        <v>48.6</v>
      </c>
      <c r="I129" s="10">
        <v>0</v>
      </c>
      <c r="J129" s="10" t="s">
        <v>29</v>
      </c>
      <c r="K129" s="10" t="s">
        <v>29</v>
      </c>
    </row>
    <row r="130" spans="1:11" ht="16" x14ac:dyDescent="0.2">
      <c r="A130" s="58"/>
      <c r="B130" s="9" t="s">
        <v>39</v>
      </c>
      <c r="C130" s="11" t="s">
        <v>294</v>
      </c>
      <c r="D130" s="9" t="s">
        <v>295</v>
      </c>
      <c r="E130" s="9">
        <v>11</v>
      </c>
      <c r="F130" s="12" t="s">
        <v>90</v>
      </c>
      <c r="G130" s="9" t="s">
        <v>96</v>
      </c>
      <c r="H130" s="10">
        <v>48.6</v>
      </c>
      <c r="I130" s="10">
        <v>0</v>
      </c>
      <c r="J130" s="10" t="s">
        <v>29</v>
      </c>
      <c r="K130" s="10" t="s">
        <v>29</v>
      </c>
    </row>
    <row r="131" spans="1:11" s="27" customFormat="1" x14ac:dyDescent="0.2">
      <c r="A131" s="58"/>
      <c r="B131" s="9" t="s">
        <v>39</v>
      </c>
      <c r="C131" s="11" t="s">
        <v>290</v>
      </c>
      <c r="D131" s="9" t="s">
        <v>291</v>
      </c>
      <c r="E131" s="9">
        <v>33</v>
      </c>
      <c r="F131" s="11" t="s">
        <v>91</v>
      </c>
      <c r="G131" s="20" t="s">
        <v>97</v>
      </c>
      <c r="H131" s="10">
        <v>48.6</v>
      </c>
      <c r="I131" s="10">
        <v>0</v>
      </c>
      <c r="J131" s="10" t="s">
        <v>29</v>
      </c>
      <c r="K131" s="10" t="s">
        <v>29</v>
      </c>
    </row>
    <row r="132" spans="1:11" x14ac:dyDescent="0.2">
      <c r="A132" s="58"/>
      <c r="B132" s="9" t="s">
        <v>39</v>
      </c>
      <c r="C132" s="11" t="s">
        <v>283</v>
      </c>
      <c r="D132" s="9" t="s">
        <v>284</v>
      </c>
      <c r="E132" s="9">
        <v>11</v>
      </c>
      <c r="F132" s="11" t="s">
        <v>285</v>
      </c>
      <c r="G132" s="9" t="s">
        <v>317</v>
      </c>
      <c r="H132" s="10">
        <v>48.6</v>
      </c>
      <c r="I132" s="10">
        <v>0</v>
      </c>
      <c r="J132" s="10" t="s">
        <v>29</v>
      </c>
      <c r="K132" s="10" t="s">
        <v>29</v>
      </c>
    </row>
    <row r="133" spans="1:11" s="2" customFormat="1" ht="16" x14ac:dyDescent="0.2">
      <c r="A133" s="58"/>
      <c r="B133" s="22" t="s">
        <v>39</v>
      </c>
      <c r="C133" s="21" t="s">
        <v>305</v>
      </c>
      <c r="D133" s="22" t="s">
        <v>306</v>
      </c>
      <c r="E133" s="22">
        <v>33</v>
      </c>
      <c r="F133" s="36" t="s">
        <v>89</v>
      </c>
      <c r="G133" s="22" t="s">
        <v>93</v>
      </c>
      <c r="H133" s="23">
        <v>48.6</v>
      </c>
      <c r="I133" s="23">
        <v>0</v>
      </c>
      <c r="J133" s="23" t="s">
        <v>29</v>
      </c>
      <c r="K133" s="23" t="s">
        <v>29</v>
      </c>
    </row>
    <row r="134" spans="1:11" s="42" customFormat="1" x14ac:dyDescent="0.2">
      <c r="A134" s="58"/>
      <c r="B134" s="31" t="s">
        <v>39</v>
      </c>
      <c r="C134" s="39" t="s">
        <v>311</v>
      </c>
      <c r="D134" s="31" t="s">
        <v>312</v>
      </c>
      <c r="E134" s="31">
        <v>33</v>
      </c>
      <c r="F134" s="39" t="s">
        <v>89</v>
      </c>
      <c r="G134" s="31" t="s">
        <v>93</v>
      </c>
      <c r="H134" s="41">
        <v>48.6</v>
      </c>
      <c r="I134" s="41">
        <v>0</v>
      </c>
      <c r="J134" s="41" t="s">
        <v>29</v>
      </c>
      <c r="K134" s="41" t="s">
        <v>29</v>
      </c>
    </row>
    <row r="135" spans="1:11" s="2" customFormat="1" x14ac:dyDescent="0.2">
      <c r="A135" s="58"/>
      <c r="B135" s="22" t="s">
        <v>452</v>
      </c>
      <c r="C135" s="21" t="s">
        <v>307</v>
      </c>
      <c r="D135" s="22" t="s">
        <v>308</v>
      </c>
      <c r="E135" s="22">
        <v>33</v>
      </c>
      <c r="F135" s="21" t="s">
        <v>89</v>
      </c>
      <c r="G135" s="22" t="s">
        <v>93</v>
      </c>
      <c r="H135" s="23">
        <v>48.6</v>
      </c>
      <c r="I135" s="23">
        <v>0</v>
      </c>
      <c r="J135" s="23" t="s">
        <v>29</v>
      </c>
      <c r="K135" s="23" t="s">
        <v>29</v>
      </c>
    </row>
    <row r="136" spans="1:11" x14ac:dyDescent="0.2">
      <c r="A136" s="58"/>
      <c r="B136" s="9" t="s">
        <v>454</v>
      </c>
      <c r="C136" s="11" t="s">
        <v>309</v>
      </c>
      <c r="D136" s="9" t="s">
        <v>310</v>
      </c>
      <c r="E136" s="9">
        <v>33</v>
      </c>
      <c r="F136" s="11" t="s">
        <v>89</v>
      </c>
      <c r="G136" s="9" t="s">
        <v>93</v>
      </c>
      <c r="H136" s="10">
        <v>48.6</v>
      </c>
      <c r="I136" s="10">
        <v>0</v>
      </c>
      <c r="J136" s="10" t="s">
        <v>29</v>
      </c>
      <c r="K136" s="10" t="s">
        <v>29</v>
      </c>
    </row>
    <row r="137" spans="1:11" x14ac:dyDescent="0.2">
      <c r="A137" s="58"/>
      <c r="B137" s="9" t="s">
        <v>313</v>
      </c>
      <c r="C137" s="11" t="s">
        <v>313</v>
      </c>
      <c r="D137" s="9" t="s">
        <v>314</v>
      </c>
      <c r="E137" s="9">
        <v>11</v>
      </c>
      <c r="F137" s="11" t="s">
        <v>90</v>
      </c>
      <c r="G137" s="9" t="s">
        <v>96</v>
      </c>
      <c r="H137" s="10">
        <v>48.6</v>
      </c>
      <c r="I137" s="10">
        <v>0</v>
      </c>
      <c r="J137" s="10" t="s">
        <v>29</v>
      </c>
      <c r="K137" s="10" t="s">
        <v>29</v>
      </c>
    </row>
    <row r="138" spans="1:11" x14ac:dyDescent="0.2">
      <c r="A138" s="58"/>
      <c r="B138" s="9" t="s">
        <v>313</v>
      </c>
      <c r="C138" s="11" t="s">
        <v>315</v>
      </c>
      <c r="D138" s="9" t="s">
        <v>316</v>
      </c>
      <c r="E138" s="9">
        <v>11</v>
      </c>
      <c r="F138" s="11" t="s">
        <v>90</v>
      </c>
      <c r="G138" s="9" t="s">
        <v>96</v>
      </c>
      <c r="H138" s="10">
        <v>48.6</v>
      </c>
      <c r="I138" s="10">
        <v>0</v>
      </c>
      <c r="J138" s="10" t="s">
        <v>29</v>
      </c>
      <c r="K138" s="10" t="s">
        <v>29</v>
      </c>
    </row>
    <row r="139" spans="1:11" x14ac:dyDescent="0.2">
      <c r="A139" s="56" t="str">
        <f>CONCATENATE("Stage 8: 48.5Hz " &amp; CHAR(10) )</f>
        <v xml:space="preserve">Stage 8: 48.5Hz 
</v>
      </c>
      <c r="B139" s="6" t="s">
        <v>421</v>
      </c>
      <c r="C139" s="5" t="s">
        <v>323</v>
      </c>
      <c r="D139" s="6" t="s">
        <v>324</v>
      </c>
      <c r="E139" s="6">
        <v>11</v>
      </c>
      <c r="F139" s="5" t="s">
        <v>90</v>
      </c>
      <c r="G139" s="6" t="s">
        <v>96</v>
      </c>
      <c r="H139" s="7">
        <v>48.5</v>
      </c>
      <c r="I139" s="7">
        <v>0</v>
      </c>
      <c r="J139" s="7" t="s">
        <v>29</v>
      </c>
      <c r="K139" s="7" t="s">
        <v>29</v>
      </c>
    </row>
    <row r="140" spans="1:11" x14ac:dyDescent="0.2">
      <c r="A140" s="56"/>
      <c r="B140" s="6" t="s">
        <v>453</v>
      </c>
      <c r="C140" s="5" t="s">
        <v>325</v>
      </c>
      <c r="D140" s="6" t="s">
        <v>326</v>
      </c>
      <c r="E140" s="6">
        <v>22</v>
      </c>
      <c r="F140" s="5" t="s">
        <v>88</v>
      </c>
      <c r="G140" s="6" t="s">
        <v>93</v>
      </c>
      <c r="H140" s="7">
        <v>48.5</v>
      </c>
      <c r="I140" s="7">
        <v>0</v>
      </c>
      <c r="J140" s="7" t="s">
        <v>29</v>
      </c>
      <c r="K140" s="7" t="s">
        <v>29</v>
      </c>
    </row>
    <row r="141" spans="1:11" ht="16" x14ac:dyDescent="0.2">
      <c r="A141" s="56"/>
      <c r="B141" s="6" t="s">
        <v>313</v>
      </c>
      <c r="C141" s="5" t="s">
        <v>327</v>
      </c>
      <c r="D141" s="6" t="s">
        <v>328</v>
      </c>
      <c r="E141" s="6">
        <v>33</v>
      </c>
      <c r="F141" s="24" t="s">
        <v>89</v>
      </c>
      <c r="G141" s="6" t="s">
        <v>93</v>
      </c>
      <c r="H141" s="7">
        <v>48.5</v>
      </c>
      <c r="I141" s="7">
        <v>0</v>
      </c>
      <c r="J141" s="7" t="s">
        <v>29</v>
      </c>
      <c r="K141" s="7" t="s">
        <v>29</v>
      </c>
    </row>
    <row r="142" spans="1:11" ht="16" x14ac:dyDescent="0.2">
      <c r="A142" s="56"/>
      <c r="B142" s="6" t="s">
        <v>313</v>
      </c>
      <c r="C142" s="5" t="s">
        <v>329</v>
      </c>
      <c r="D142" s="6" t="s">
        <v>330</v>
      </c>
      <c r="E142" s="6">
        <v>33</v>
      </c>
      <c r="F142" s="24" t="s">
        <v>90</v>
      </c>
      <c r="G142" s="6" t="s">
        <v>96</v>
      </c>
      <c r="H142" s="7">
        <v>48.5</v>
      </c>
      <c r="I142" s="7">
        <v>0</v>
      </c>
      <c r="J142" s="7" t="s">
        <v>29</v>
      </c>
      <c r="K142" s="7" t="s">
        <v>29</v>
      </c>
    </row>
    <row r="143" spans="1:11" x14ac:dyDescent="0.2">
      <c r="A143" s="56"/>
      <c r="B143" s="6" t="s">
        <v>458</v>
      </c>
      <c r="C143" s="5" t="s">
        <v>334</v>
      </c>
      <c r="D143" s="6" t="s">
        <v>77</v>
      </c>
      <c r="E143" s="6">
        <v>11</v>
      </c>
      <c r="F143" s="5" t="s">
        <v>335</v>
      </c>
      <c r="G143" s="6" t="s">
        <v>350</v>
      </c>
      <c r="H143" s="7">
        <v>48.5</v>
      </c>
      <c r="I143" s="7">
        <v>0</v>
      </c>
      <c r="J143" s="7" t="s">
        <v>29</v>
      </c>
      <c r="K143" s="7" t="s">
        <v>29</v>
      </c>
    </row>
    <row r="144" spans="1:11" x14ac:dyDescent="0.2">
      <c r="A144" s="56"/>
      <c r="B144" s="6" t="s">
        <v>452</v>
      </c>
      <c r="C144" s="5" t="s">
        <v>336</v>
      </c>
      <c r="D144" s="6" t="s">
        <v>337</v>
      </c>
      <c r="E144" s="6">
        <v>11</v>
      </c>
      <c r="F144" s="5" t="s">
        <v>90</v>
      </c>
      <c r="G144" s="6" t="s">
        <v>96</v>
      </c>
      <c r="H144" s="7">
        <v>48.5</v>
      </c>
      <c r="I144" s="7">
        <v>0</v>
      </c>
      <c r="J144" s="7" t="s">
        <v>29</v>
      </c>
      <c r="K144" s="7" t="s">
        <v>29</v>
      </c>
    </row>
    <row r="145" spans="1:11" x14ac:dyDescent="0.2">
      <c r="A145" s="56"/>
      <c r="B145" s="6" t="s">
        <v>452</v>
      </c>
      <c r="C145" s="5" t="s">
        <v>336</v>
      </c>
      <c r="D145" s="6" t="s">
        <v>337</v>
      </c>
      <c r="E145" s="6">
        <v>33</v>
      </c>
      <c r="F145" s="5" t="s">
        <v>91</v>
      </c>
      <c r="G145" s="6" t="s">
        <v>97</v>
      </c>
      <c r="H145" s="7">
        <v>48.5</v>
      </c>
      <c r="I145" s="7">
        <v>0</v>
      </c>
      <c r="J145" s="7" t="s">
        <v>29</v>
      </c>
      <c r="K145" s="7" t="s">
        <v>29</v>
      </c>
    </row>
    <row r="146" spans="1:11" x14ac:dyDescent="0.2">
      <c r="A146" s="56"/>
      <c r="B146" s="6" t="s">
        <v>452</v>
      </c>
      <c r="C146" s="5" t="s">
        <v>338</v>
      </c>
      <c r="D146" s="6" t="s">
        <v>26</v>
      </c>
      <c r="E146" s="6">
        <v>33</v>
      </c>
      <c r="F146" s="5" t="s">
        <v>449</v>
      </c>
      <c r="G146" s="6" t="s">
        <v>93</v>
      </c>
      <c r="H146" s="7">
        <v>48.5</v>
      </c>
      <c r="I146" s="7">
        <v>0</v>
      </c>
      <c r="J146" s="7" t="s">
        <v>29</v>
      </c>
      <c r="K146" s="7" t="s">
        <v>29</v>
      </c>
    </row>
    <row r="147" spans="1:11" x14ac:dyDescent="0.2">
      <c r="A147" s="56"/>
      <c r="B147" s="6" t="s">
        <v>452</v>
      </c>
      <c r="C147" s="5" t="s">
        <v>338</v>
      </c>
      <c r="D147" s="6" t="s">
        <v>26</v>
      </c>
      <c r="E147" s="6">
        <v>33</v>
      </c>
      <c r="F147" s="5" t="s">
        <v>92</v>
      </c>
      <c r="G147" s="6" t="s">
        <v>97</v>
      </c>
      <c r="H147" s="7">
        <v>48.5</v>
      </c>
      <c r="I147" s="7">
        <v>0</v>
      </c>
      <c r="J147" s="7" t="s">
        <v>29</v>
      </c>
      <c r="K147" s="7" t="s">
        <v>29</v>
      </c>
    </row>
    <row r="148" spans="1:11" x14ac:dyDescent="0.2">
      <c r="A148" s="56"/>
      <c r="B148" s="6" t="s">
        <v>39</v>
      </c>
      <c r="C148" s="5" t="s">
        <v>347</v>
      </c>
      <c r="D148" s="6" t="s">
        <v>348</v>
      </c>
      <c r="E148" s="6">
        <v>33</v>
      </c>
      <c r="F148" s="5" t="s">
        <v>349</v>
      </c>
      <c r="G148" s="6" t="s">
        <v>351</v>
      </c>
      <c r="H148" s="7">
        <v>48.5</v>
      </c>
      <c r="I148" s="7">
        <v>0</v>
      </c>
      <c r="J148" s="7" t="s">
        <v>29</v>
      </c>
      <c r="K148" s="7" t="s">
        <v>29</v>
      </c>
    </row>
    <row r="149" spans="1:11" x14ac:dyDescent="0.2">
      <c r="A149" s="56"/>
      <c r="B149" s="6" t="s">
        <v>39</v>
      </c>
      <c r="C149" s="5" t="s">
        <v>339</v>
      </c>
      <c r="D149" s="6" t="s">
        <v>340</v>
      </c>
      <c r="E149" s="6">
        <v>33</v>
      </c>
      <c r="F149" s="5" t="s">
        <v>91</v>
      </c>
      <c r="G149" s="6" t="s">
        <v>97</v>
      </c>
      <c r="H149" s="7">
        <v>48.5</v>
      </c>
      <c r="I149" s="7">
        <v>0</v>
      </c>
      <c r="J149" s="7" t="s">
        <v>29</v>
      </c>
      <c r="K149" s="7" t="s">
        <v>29</v>
      </c>
    </row>
    <row r="150" spans="1:11" s="2" customFormat="1" x14ac:dyDescent="0.2">
      <c r="A150" s="56"/>
      <c r="B150" s="17" t="s">
        <v>39</v>
      </c>
      <c r="C150" s="19" t="s">
        <v>343</v>
      </c>
      <c r="D150" s="17" t="s">
        <v>344</v>
      </c>
      <c r="E150" s="17">
        <v>33</v>
      </c>
      <c r="F150" s="19" t="s">
        <v>89</v>
      </c>
      <c r="G150" s="17" t="s">
        <v>93</v>
      </c>
      <c r="H150" s="18">
        <v>48.5</v>
      </c>
      <c r="I150" s="18">
        <v>0</v>
      </c>
      <c r="J150" s="18" t="s">
        <v>29</v>
      </c>
      <c r="K150" s="18" t="s">
        <v>29</v>
      </c>
    </row>
    <row r="151" spans="1:11" x14ac:dyDescent="0.2">
      <c r="A151" s="56"/>
      <c r="B151" s="6" t="s">
        <v>454</v>
      </c>
      <c r="C151" s="5" t="s">
        <v>341</v>
      </c>
      <c r="D151" s="6" t="s">
        <v>342</v>
      </c>
      <c r="E151" s="6">
        <v>33</v>
      </c>
      <c r="F151" s="5" t="s">
        <v>89</v>
      </c>
      <c r="G151" s="6" t="s">
        <v>93</v>
      </c>
      <c r="H151" s="7">
        <v>48.5</v>
      </c>
      <c r="I151" s="7">
        <v>0</v>
      </c>
      <c r="J151" s="7" t="s">
        <v>29</v>
      </c>
      <c r="K151" s="7" t="s">
        <v>29</v>
      </c>
    </row>
    <row r="152" spans="1:11" x14ac:dyDescent="0.2">
      <c r="A152" s="56"/>
      <c r="B152" s="6" t="s">
        <v>186</v>
      </c>
      <c r="C152" s="5" t="s">
        <v>331</v>
      </c>
      <c r="D152" s="6" t="s">
        <v>332</v>
      </c>
      <c r="E152" s="6">
        <v>33</v>
      </c>
      <c r="F152" s="5" t="s">
        <v>333</v>
      </c>
      <c r="G152" s="6" t="s">
        <v>94</v>
      </c>
      <c r="H152" s="7">
        <v>48.5</v>
      </c>
      <c r="I152" s="7">
        <v>0</v>
      </c>
      <c r="J152" s="7" t="s">
        <v>29</v>
      </c>
      <c r="K152" s="7" t="s">
        <v>29</v>
      </c>
    </row>
    <row r="153" spans="1:11" x14ac:dyDescent="0.2">
      <c r="A153" s="56"/>
      <c r="B153" s="6" t="s">
        <v>186</v>
      </c>
      <c r="C153" s="5" t="s">
        <v>148</v>
      </c>
      <c r="D153" s="6" t="s">
        <v>149</v>
      </c>
      <c r="E153" s="6">
        <v>132</v>
      </c>
      <c r="F153" s="5" t="s">
        <v>352</v>
      </c>
      <c r="G153" s="6" t="s">
        <v>144</v>
      </c>
      <c r="H153" s="7">
        <v>48.5</v>
      </c>
      <c r="I153" s="7">
        <v>0</v>
      </c>
      <c r="J153" s="7" t="s">
        <v>29</v>
      </c>
      <c r="K153" s="7" t="s">
        <v>29</v>
      </c>
    </row>
    <row r="154" spans="1:11" x14ac:dyDescent="0.2">
      <c r="A154" s="56"/>
      <c r="B154" s="6" t="s">
        <v>186</v>
      </c>
      <c r="C154" s="5" t="s">
        <v>345</v>
      </c>
      <c r="D154" s="6" t="s">
        <v>346</v>
      </c>
      <c r="E154" s="6">
        <v>132</v>
      </c>
      <c r="F154" s="5" t="s">
        <v>352</v>
      </c>
      <c r="G154" s="6" t="s">
        <v>33</v>
      </c>
      <c r="H154" s="7">
        <v>48.5</v>
      </c>
      <c r="I154" s="7">
        <v>0</v>
      </c>
      <c r="J154" s="7" t="s">
        <v>29</v>
      </c>
      <c r="K154" s="7" t="s">
        <v>29</v>
      </c>
    </row>
    <row r="155" spans="1:11" x14ac:dyDescent="0.2">
      <c r="A155" s="58" t="str">
        <f>CONCATENATE("Stage 9: 48.4Hz " &amp; CHAR(10) )</f>
        <v xml:space="preserve">Stage 9: 48.4Hz 
</v>
      </c>
      <c r="B155" s="9" t="s">
        <v>456</v>
      </c>
      <c r="C155" s="11" t="s">
        <v>218</v>
      </c>
      <c r="D155" s="9" t="s">
        <v>219</v>
      </c>
      <c r="E155" s="9">
        <v>132</v>
      </c>
      <c r="F155" s="11" t="s">
        <v>366</v>
      </c>
      <c r="G155" s="20" t="s">
        <v>363</v>
      </c>
      <c r="H155" s="10">
        <v>48.4</v>
      </c>
      <c r="I155" s="10">
        <v>0</v>
      </c>
      <c r="J155" s="10" t="s">
        <v>29</v>
      </c>
      <c r="K155" s="10" t="s">
        <v>29</v>
      </c>
    </row>
    <row r="156" spans="1:11" x14ac:dyDescent="0.2">
      <c r="A156" s="58"/>
      <c r="B156" s="9" t="s">
        <v>456</v>
      </c>
      <c r="C156" s="11" t="s">
        <v>155</v>
      </c>
      <c r="D156" s="9" t="s">
        <v>156</v>
      </c>
      <c r="E156" s="9">
        <v>132</v>
      </c>
      <c r="F156" s="11" t="s">
        <v>367</v>
      </c>
      <c r="G156" s="9" t="s">
        <v>182</v>
      </c>
      <c r="H156" s="10">
        <v>48.4</v>
      </c>
      <c r="I156" s="10">
        <v>0</v>
      </c>
      <c r="J156" s="10" t="s">
        <v>29</v>
      </c>
      <c r="K156" s="10" t="s">
        <v>29</v>
      </c>
    </row>
    <row r="157" spans="1:11" x14ac:dyDescent="0.2">
      <c r="A157" s="58"/>
      <c r="B157" s="9" t="s">
        <v>456</v>
      </c>
      <c r="C157" s="11" t="s">
        <v>460</v>
      </c>
      <c r="D157" s="9" t="s">
        <v>355</v>
      </c>
      <c r="E157" s="9">
        <v>132</v>
      </c>
      <c r="F157" s="11" t="s">
        <v>368</v>
      </c>
      <c r="G157" s="9" t="s">
        <v>182</v>
      </c>
      <c r="H157" s="10">
        <v>48.4</v>
      </c>
      <c r="I157" s="10">
        <v>0</v>
      </c>
      <c r="J157" s="10" t="s">
        <v>29</v>
      </c>
      <c r="K157" s="10" t="s">
        <v>29</v>
      </c>
    </row>
    <row r="158" spans="1:11" x14ac:dyDescent="0.2">
      <c r="A158" s="58"/>
      <c r="B158" s="9" t="s">
        <v>456</v>
      </c>
      <c r="C158" s="11" t="s">
        <v>460</v>
      </c>
      <c r="D158" s="9" t="s">
        <v>355</v>
      </c>
      <c r="E158" s="9">
        <v>132</v>
      </c>
      <c r="F158" s="11" t="s">
        <v>369</v>
      </c>
      <c r="G158" s="9" t="s">
        <v>32</v>
      </c>
      <c r="H158" s="10">
        <v>48.4</v>
      </c>
      <c r="I158" s="10">
        <v>0</v>
      </c>
      <c r="J158" s="10" t="s">
        <v>29</v>
      </c>
      <c r="K158" s="10" t="s">
        <v>29</v>
      </c>
    </row>
    <row r="159" spans="1:11" s="2" customFormat="1" x14ac:dyDescent="0.2">
      <c r="A159" s="58"/>
      <c r="B159" s="22" t="s">
        <v>313</v>
      </c>
      <c r="C159" s="21" t="s">
        <v>371</v>
      </c>
      <c r="D159" s="22" t="s">
        <v>372</v>
      </c>
      <c r="E159" s="22">
        <v>132</v>
      </c>
      <c r="F159" s="21" t="s">
        <v>370</v>
      </c>
      <c r="G159" s="22" t="s">
        <v>374</v>
      </c>
      <c r="H159" s="23">
        <v>48.4</v>
      </c>
      <c r="I159" s="23">
        <v>0</v>
      </c>
      <c r="J159" s="23" t="s">
        <v>29</v>
      </c>
      <c r="K159" s="23" t="s">
        <v>29</v>
      </c>
    </row>
    <row r="160" spans="1:11" x14ac:dyDescent="0.2">
      <c r="A160" s="58"/>
      <c r="B160" s="9" t="s">
        <v>313</v>
      </c>
      <c r="C160" s="11" t="s">
        <v>315</v>
      </c>
      <c r="D160" s="9" t="s">
        <v>316</v>
      </c>
      <c r="E160" s="9">
        <v>132</v>
      </c>
      <c r="F160" s="11" t="s">
        <v>373</v>
      </c>
      <c r="G160" s="9" t="s">
        <v>364</v>
      </c>
      <c r="H160" s="10">
        <v>48.4</v>
      </c>
      <c r="I160" s="10">
        <v>0</v>
      </c>
      <c r="J160" s="10" t="s">
        <v>29</v>
      </c>
      <c r="K160" s="10" t="s">
        <v>29</v>
      </c>
    </row>
    <row r="161" spans="1:11" x14ac:dyDescent="0.2">
      <c r="A161" s="58"/>
      <c r="B161" s="9" t="s">
        <v>421</v>
      </c>
      <c r="C161" s="11" t="s">
        <v>356</v>
      </c>
      <c r="D161" s="9" t="s">
        <v>357</v>
      </c>
      <c r="E161" s="9">
        <v>132</v>
      </c>
      <c r="F161" s="11" t="s">
        <v>375</v>
      </c>
      <c r="G161" s="9" t="s">
        <v>365</v>
      </c>
      <c r="H161" s="10">
        <v>48.4</v>
      </c>
      <c r="I161" s="10">
        <v>0</v>
      </c>
      <c r="J161" s="10" t="s">
        <v>29</v>
      </c>
      <c r="K161" s="10" t="s">
        <v>29</v>
      </c>
    </row>
    <row r="162" spans="1:11" x14ac:dyDescent="0.2">
      <c r="A162" s="58"/>
      <c r="B162" s="9" t="s">
        <v>453</v>
      </c>
      <c r="C162" s="11" t="s">
        <v>302</v>
      </c>
      <c r="D162" s="9" t="s">
        <v>303</v>
      </c>
      <c r="E162" s="9">
        <v>132</v>
      </c>
      <c r="F162" s="11" t="s">
        <v>375</v>
      </c>
      <c r="G162" s="9" t="s">
        <v>144</v>
      </c>
      <c r="H162" s="10">
        <v>48.4</v>
      </c>
      <c r="I162" s="10">
        <v>0</v>
      </c>
      <c r="J162" s="10" t="s">
        <v>29</v>
      </c>
      <c r="K162" s="10" t="s">
        <v>29</v>
      </c>
    </row>
    <row r="163" spans="1:11" x14ac:dyDescent="0.2">
      <c r="A163" s="58"/>
      <c r="B163" s="9" t="s">
        <v>39</v>
      </c>
      <c r="C163" s="11" t="s">
        <v>358</v>
      </c>
      <c r="D163" s="9" t="s">
        <v>359</v>
      </c>
      <c r="E163" s="9">
        <v>33</v>
      </c>
      <c r="F163" s="11" t="s">
        <v>89</v>
      </c>
      <c r="G163" s="9" t="s">
        <v>93</v>
      </c>
      <c r="H163" s="10">
        <v>48.4</v>
      </c>
      <c r="I163" s="10">
        <v>0</v>
      </c>
      <c r="J163" s="10" t="s">
        <v>29</v>
      </c>
      <c r="K163" s="10" t="s">
        <v>29</v>
      </c>
    </row>
    <row r="164" spans="1:11" x14ac:dyDescent="0.2">
      <c r="A164" s="58"/>
      <c r="B164" s="9" t="s">
        <v>454</v>
      </c>
      <c r="C164" s="11" t="s">
        <v>353</v>
      </c>
      <c r="D164" s="9" t="s">
        <v>354</v>
      </c>
      <c r="E164" s="9">
        <v>33</v>
      </c>
      <c r="F164" s="11" t="s">
        <v>89</v>
      </c>
      <c r="G164" s="9" t="s">
        <v>93</v>
      </c>
      <c r="H164" s="10">
        <v>48.4</v>
      </c>
      <c r="I164" s="10">
        <v>0</v>
      </c>
      <c r="J164" s="10" t="s">
        <v>29</v>
      </c>
      <c r="K164" s="10" t="s">
        <v>29</v>
      </c>
    </row>
    <row r="165" spans="1:11" ht="16" x14ac:dyDescent="0.2">
      <c r="A165" s="58"/>
      <c r="B165" s="9" t="s">
        <v>454</v>
      </c>
      <c r="C165" s="11" t="s">
        <v>395</v>
      </c>
      <c r="D165" s="9" t="s">
        <v>360</v>
      </c>
      <c r="E165" s="9">
        <v>33</v>
      </c>
      <c r="F165" s="12" t="s">
        <v>89</v>
      </c>
      <c r="G165" s="9" t="s">
        <v>93</v>
      </c>
      <c r="H165" s="10">
        <v>48.4</v>
      </c>
      <c r="I165" s="10">
        <v>0</v>
      </c>
      <c r="J165" s="10" t="s">
        <v>29</v>
      </c>
      <c r="K165" s="10" t="s">
        <v>29</v>
      </c>
    </row>
    <row r="166" spans="1:11" x14ac:dyDescent="0.2">
      <c r="A166" s="58"/>
      <c r="B166" s="9" t="s">
        <v>452</v>
      </c>
      <c r="C166" s="11" t="s">
        <v>361</v>
      </c>
      <c r="D166" s="9" t="s">
        <v>362</v>
      </c>
      <c r="E166" s="9">
        <v>33</v>
      </c>
      <c r="F166" s="11" t="s">
        <v>89</v>
      </c>
      <c r="G166" s="9" t="s">
        <v>93</v>
      </c>
      <c r="H166" s="10">
        <v>48.4</v>
      </c>
      <c r="I166" s="10">
        <v>0</v>
      </c>
      <c r="J166" s="10" t="s">
        <v>29</v>
      </c>
      <c r="K166" s="10" t="s">
        <v>29</v>
      </c>
    </row>
    <row r="167" spans="1:11" x14ac:dyDescent="0.2">
      <c r="A167" s="56" t="e">
        <f>CONCATENATE("Stage 10: 48.3Hz " &amp; CHAR(10) &amp;"Total load: ",ROUND(SUM(#REF!),0),"MW")</f>
        <v>#REF!</v>
      </c>
      <c r="B167" s="6" t="s">
        <v>453</v>
      </c>
      <c r="C167" s="5" t="s">
        <v>376</v>
      </c>
      <c r="D167" s="6" t="s">
        <v>377</v>
      </c>
      <c r="E167" s="6">
        <v>22</v>
      </c>
      <c r="F167" s="5" t="s">
        <v>378</v>
      </c>
      <c r="G167" s="6" t="s">
        <v>351</v>
      </c>
      <c r="H167" s="7">
        <v>48.3</v>
      </c>
      <c r="I167" s="7">
        <v>0</v>
      </c>
      <c r="J167" s="7">
        <v>49.3</v>
      </c>
      <c r="K167" s="7">
        <v>120</v>
      </c>
    </row>
    <row r="168" spans="1:11" x14ac:dyDescent="0.2">
      <c r="A168" s="56"/>
      <c r="B168" s="6" t="s">
        <v>421</v>
      </c>
      <c r="C168" s="5" t="s">
        <v>379</v>
      </c>
      <c r="D168" s="6" t="s">
        <v>380</v>
      </c>
      <c r="E168" s="6">
        <v>132</v>
      </c>
      <c r="F168" s="5" t="s">
        <v>407</v>
      </c>
      <c r="G168" s="6" t="s">
        <v>144</v>
      </c>
      <c r="H168" s="7">
        <v>48.3</v>
      </c>
      <c r="I168" s="7">
        <v>0</v>
      </c>
      <c r="J168" s="7">
        <v>49.3</v>
      </c>
      <c r="K168" s="7">
        <v>120</v>
      </c>
    </row>
    <row r="169" spans="1:11" x14ac:dyDescent="0.2">
      <c r="A169" s="56"/>
      <c r="B169" s="6" t="s">
        <v>421</v>
      </c>
      <c r="C169" s="5" t="s">
        <v>381</v>
      </c>
      <c r="D169" s="6" t="s">
        <v>382</v>
      </c>
      <c r="E169" s="6">
        <v>132</v>
      </c>
      <c r="F169" s="5" t="s">
        <v>408</v>
      </c>
      <c r="G169" s="6" t="s">
        <v>38</v>
      </c>
      <c r="H169" s="7">
        <v>48.3</v>
      </c>
      <c r="I169" s="7">
        <v>0</v>
      </c>
      <c r="J169" s="7">
        <v>49.3</v>
      </c>
      <c r="K169" s="7">
        <v>120</v>
      </c>
    </row>
    <row r="170" spans="1:11" x14ac:dyDescent="0.2">
      <c r="A170" s="56"/>
      <c r="B170" s="6" t="s">
        <v>421</v>
      </c>
      <c r="C170" s="5" t="s">
        <v>381</v>
      </c>
      <c r="D170" s="6" t="s">
        <v>382</v>
      </c>
      <c r="E170" s="6">
        <v>11</v>
      </c>
      <c r="F170" s="5" t="s">
        <v>90</v>
      </c>
      <c r="G170" s="6" t="s">
        <v>96</v>
      </c>
      <c r="H170" s="7">
        <v>48.3</v>
      </c>
      <c r="I170" s="7">
        <v>0</v>
      </c>
      <c r="J170" s="7">
        <v>49.3</v>
      </c>
      <c r="K170" s="7">
        <v>120</v>
      </c>
    </row>
    <row r="171" spans="1:11" x14ac:dyDescent="0.2">
      <c r="A171" s="56"/>
      <c r="B171" s="6" t="s">
        <v>39</v>
      </c>
      <c r="C171" s="5" t="s">
        <v>385</v>
      </c>
      <c r="D171" s="6" t="s">
        <v>386</v>
      </c>
      <c r="E171" s="6">
        <v>33</v>
      </c>
      <c r="F171" s="5" t="s">
        <v>91</v>
      </c>
      <c r="G171" s="6" t="s">
        <v>97</v>
      </c>
      <c r="H171" s="7">
        <v>48.3</v>
      </c>
      <c r="I171" s="7">
        <v>0</v>
      </c>
      <c r="J171" s="7">
        <v>49.3</v>
      </c>
      <c r="K171" s="7">
        <v>120</v>
      </c>
    </row>
    <row r="172" spans="1:11" x14ac:dyDescent="0.2">
      <c r="A172" s="56"/>
      <c r="B172" s="6" t="s">
        <v>39</v>
      </c>
      <c r="C172" s="5" t="s">
        <v>387</v>
      </c>
      <c r="D172" s="6" t="s">
        <v>388</v>
      </c>
      <c r="E172" s="6">
        <v>33</v>
      </c>
      <c r="F172" s="5" t="s">
        <v>450</v>
      </c>
      <c r="G172" s="6" t="s">
        <v>451</v>
      </c>
      <c r="H172" s="7">
        <v>48.3</v>
      </c>
      <c r="I172" s="7">
        <v>0</v>
      </c>
      <c r="J172" s="7">
        <v>49.3</v>
      </c>
      <c r="K172" s="7">
        <v>120</v>
      </c>
    </row>
    <row r="173" spans="1:11" x14ac:dyDescent="0.2">
      <c r="A173" s="56"/>
      <c r="B173" s="6" t="s">
        <v>457</v>
      </c>
      <c r="C173" s="5" t="s">
        <v>389</v>
      </c>
      <c r="D173" s="6" t="s">
        <v>390</v>
      </c>
      <c r="E173" s="6">
        <v>11</v>
      </c>
      <c r="F173" s="5" t="s">
        <v>90</v>
      </c>
      <c r="G173" s="6" t="s">
        <v>96</v>
      </c>
      <c r="H173" s="7">
        <v>48.3</v>
      </c>
      <c r="I173" s="7">
        <v>0</v>
      </c>
      <c r="J173" s="7">
        <v>49.3</v>
      </c>
      <c r="K173" s="7">
        <v>120</v>
      </c>
    </row>
    <row r="174" spans="1:11" x14ac:dyDescent="0.2">
      <c r="A174" s="56"/>
      <c r="B174" s="6" t="s">
        <v>458</v>
      </c>
      <c r="C174" s="5" t="s">
        <v>391</v>
      </c>
      <c r="D174" s="6" t="s">
        <v>392</v>
      </c>
      <c r="E174" s="6">
        <v>132</v>
      </c>
      <c r="F174" s="5" t="s">
        <v>409</v>
      </c>
      <c r="G174" s="6">
        <v>705</v>
      </c>
      <c r="H174" s="7">
        <v>48.3</v>
      </c>
      <c r="I174" s="7">
        <v>0</v>
      </c>
      <c r="J174" s="7">
        <v>49.3</v>
      </c>
      <c r="K174" s="7">
        <v>120</v>
      </c>
    </row>
    <row r="175" spans="1:11" x14ac:dyDescent="0.2">
      <c r="A175" s="56"/>
      <c r="B175" s="6" t="s">
        <v>458</v>
      </c>
      <c r="C175" s="5" t="s">
        <v>393</v>
      </c>
      <c r="D175" s="6" t="s">
        <v>394</v>
      </c>
      <c r="E175" s="6">
        <v>132</v>
      </c>
      <c r="F175" s="5" t="s">
        <v>410</v>
      </c>
      <c r="G175" s="6" t="s">
        <v>144</v>
      </c>
      <c r="H175" s="7">
        <v>48.3</v>
      </c>
      <c r="I175" s="7">
        <v>0</v>
      </c>
      <c r="J175" s="7">
        <v>49.3</v>
      </c>
      <c r="K175" s="7">
        <v>120</v>
      </c>
    </row>
    <row r="176" spans="1:11" x14ac:dyDescent="0.2">
      <c r="A176" s="56"/>
      <c r="B176" s="6" t="s">
        <v>454</v>
      </c>
      <c r="C176" s="5" t="s">
        <v>383</v>
      </c>
      <c r="D176" s="6" t="s">
        <v>384</v>
      </c>
      <c r="E176" s="6">
        <v>33</v>
      </c>
      <c r="F176" s="5" t="s">
        <v>141</v>
      </c>
      <c r="G176" s="6" t="s">
        <v>396</v>
      </c>
      <c r="H176" s="7">
        <v>48.3</v>
      </c>
      <c r="I176" s="7">
        <v>0</v>
      </c>
      <c r="J176" s="7">
        <v>49.3</v>
      </c>
      <c r="K176" s="7">
        <v>120</v>
      </c>
    </row>
    <row r="177" spans="1:11" x14ac:dyDescent="0.2">
      <c r="A177" s="56"/>
      <c r="B177" s="6" t="s">
        <v>454</v>
      </c>
      <c r="C177" s="5" t="s">
        <v>405</v>
      </c>
      <c r="D177" s="6" t="s">
        <v>406</v>
      </c>
      <c r="E177" s="6">
        <v>33</v>
      </c>
      <c r="F177" s="5" t="s">
        <v>141</v>
      </c>
      <c r="G177" s="6" t="s">
        <v>396</v>
      </c>
      <c r="H177" s="7">
        <v>48.3</v>
      </c>
      <c r="I177" s="7">
        <v>0</v>
      </c>
      <c r="J177" s="7">
        <v>49.3</v>
      </c>
      <c r="K177" s="7">
        <v>120</v>
      </c>
    </row>
    <row r="178" spans="1:11" s="42" customFormat="1" x14ac:dyDescent="0.2">
      <c r="A178" s="56"/>
      <c r="B178" s="32" t="s">
        <v>454</v>
      </c>
      <c r="C178" s="43" t="s">
        <v>397</v>
      </c>
      <c r="D178" s="32" t="s">
        <v>398</v>
      </c>
      <c r="E178" s="32">
        <v>33</v>
      </c>
      <c r="F178" s="43" t="s">
        <v>89</v>
      </c>
      <c r="G178" s="32" t="s">
        <v>93</v>
      </c>
      <c r="H178" s="44">
        <v>48.3</v>
      </c>
      <c r="I178" s="44">
        <v>0</v>
      </c>
      <c r="J178" s="44">
        <v>49.3</v>
      </c>
      <c r="K178" s="44">
        <v>120</v>
      </c>
    </row>
    <row r="179" spans="1:11" x14ac:dyDescent="0.2">
      <c r="A179" s="56"/>
      <c r="B179" s="6" t="s">
        <v>452</v>
      </c>
      <c r="C179" s="5" t="s">
        <v>399</v>
      </c>
      <c r="D179" s="6" t="s">
        <v>400</v>
      </c>
      <c r="E179" s="6">
        <v>132</v>
      </c>
      <c r="F179" s="5" t="s">
        <v>401</v>
      </c>
      <c r="G179" s="6" t="s">
        <v>38</v>
      </c>
      <c r="H179" s="7">
        <v>48.3</v>
      </c>
      <c r="I179" s="7">
        <v>0</v>
      </c>
      <c r="J179" s="7">
        <v>49.3</v>
      </c>
      <c r="K179" s="7">
        <v>120</v>
      </c>
    </row>
    <row r="180" spans="1:11" s="2" customFormat="1" x14ac:dyDescent="0.2">
      <c r="A180" s="56"/>
      <c r="B180" s="17" t="s">
        <v>452</v>
      </c>
      <c r="C180" s="19" t="s">
        <v>402</v>
      </c>
      <c r="D180" s="17" t="s">
        <v>403</v>
      </c>
      <c r="E180" s="17">
        <v>132</v>
      </c>
      <c r="F180" s="19" t="s">
        <v>404</v>
      </c>
      <c r="G180" s="17" t="s">
        <v>38</v>
      </c>
      <c r="H180" s="18">
        <v>48.3</v>
      </c>
      <c r="I180" s="18">
        <v>0</v>
      </c>
      <c r="J180" s="18">
        <v>49.3</v>
      </c>
      <c r="K180" s="18">
        <v>120</v>
      </c>
    </row>
    <row r="181" spans="1:11" x14ac:dyDescent="0.2">
      <c r="A181" s="57" t="e">
        <f>CONCATENATE("Stage 11: 48.2Hz " &amp; CHAR(10) &amp;"Total load: ",ROUND(SUM(#REF!),0),"MW")</f>
        <v>#REF!</v>
      </c>
      <c r="B181" s="9" t="s">
        <v>452</v>
      </c>
      <c r="C181" s="11" t="s">
        <v>411</v>
      </c>
      <c r="D181" s="9" t="s">
        <v>412</v>
      </c>
      <c r="E181" s="9">
        <v>33</v>
      </c>
      <c r="F181" s="11" t="s">
        <v>89</v>
      </c>
      <c r="G181" s="9" t="s">
        <v>93</v>
      </c>
      <c r="H181" s="10">
        <v>48.2</v>
      </c>
      <c r="I181" s="10">
        <v>0</v>
      </c>
      <c r="J181" s="10">
        <v>49.3</v>
      </c>
      <c r="K181" s="10">
        <v>90</v>
      </c>
    </row>
    <row r="182" spans="1:11" x14ac:dyDescent="0.2">
      <c r="A182" s="58"/>
      <c r="B182" s="9" t="s">
        <v>457</v>
      </c>
      <c r="C182" s="11" t="s">
        <v>263</v>
      </c>
      <c r="D182" s="9" t="s">
        <v>264</v>
      </c>
      <c r="E182" s="9">
        <v>132</v>
      </c>
      <c r="F182" s="11" t="s">
        <v>423</v>
      </c>
      <c r="G182" s="9" t="s">
        <v>33</v>
      </c>
      <c r="H182" s="10">
        <v>48.2</v>
      </c>
      <c r="I182" s="10">
        <v>0</v>
      </c>
      <c r="J182" s="10">
        <v>49.3</v>
      </c>
      <c r="K182" s="10">
        <v>90</v>
      </c>
    </row>
    <row r="183" spans="1:11" x14ac:dyDescent="0.2">
      <c r="A183" s="58"/>
      <c r="B183" s="53" t="s">
        <v>457</v>
      </c>
      <c r="C183" s="54" t="s">
        <v>222</v>
      </c>
      <c r="D183" s="53" t="s">
        <v>223</v>
      </c>
      <c r="E183" s="53">
        <v>132</v>
      </c>
      <c r="F183" s="54" t="s">
        <v>424</v>
      </c>
      <c r="G183" s="53" t="s">
        <v>144</v>
      </c>
      <c r="H183" s="55">
        <v>48.2</v>
      </c>
      <c r="I183" s="55">
        <v>0</v>
      </c>
      <c r="J183" s="55">
        <v>49.3</v>
      </c>
      <c r="K183" s="55">
        <v>90</v>
      </c>
    </row>
    <row r="184" spans="1:11" x14ac:dyDescent="0.2">
      <c r="A184" s="58"/>
      <c r="B184" s="35" t="s">
        <v>457</v>
      </c>
      <c r="C184" s="51" t="s">
        <v>480</v>
      </c>
      <c r="D184" s="35" t="s">
        <v>481</v>
      </c>
      <c r="E184" s="35">
        <v>132</v>
      </c>
      <c r="F184" s="51" t="s">
        <v>479</v>
      </c>
      <c r="G184" s="35" t="s">
        <v>144</v>
      </c>
      <c r="H184" s="52">
        <v>48.2</v>
      </c>
      <c r="I184" s="52">
        <v>0</v>
      </c>
      <c r="J184" s="52">
        <v>49.3</v>
      </c>
      <c r="K184" s="52">
        <v>90</v>
      </c>
    </row>
    <row r="185" spans="1:11" x14ac:dyDescent="0.2">
      <c r="A185" s="58"/>
      <c r="B185" s="9" t="s">
        <v>454</v>
      </c>
      <c r="C185" s="11" t="s">
        <v>415</v>
      </c>
      <c r="D185" s="9" t="s">
        <v>416</v>
      </c>
      <c r="E185" s="9">
        <v>132</v>
      </c>
      <c r="F185" s="11" t="s">
        <v>425</v>
      </c>
      <c r="G185" s="9" t="s">
        <v>38</v>
      </c>
      <c r="H185" s="10">
        <v>48.2</v>
      </c>
      <c r="I185" s="10">
        <v>0</v>
      </c>
      <c r="J185" s="10">
        <v>49.3</v>
      </c>
      <c r="K185" s="10">
        <v>90</v>
      </c>
    </row>
    <row r="186" spans="1:11" x14ac:dyDescent="0.2">
      <c r="A186" s="58"/>
      <c r="B186" s="9" t="s">
        <v>454</v>
      </c>
      <c r="C186" s="11" t="s">
        <v>114</v>
      </c>
      <c r="D186" s="9" t="s">
        <v>115</v>
      </c>
      <c r="E186" s="9">
        <v>132</v>
      </c>
      <c r="F186" s="11" t="s">
        <v>422</v>
      </c>
      <c r="G186" s="9" t="s">
        <v>144</v>
      </c>
      <c r="H186" s="10">
        <v>48.2</v>
      </c>
      <c r="I186" s="10">
        <v>0</v>
      </c>
      <c r="J186" s="10">
        <v>49.3</v>
      </c>
      <c r="K186" s="10">
        <v>90</v>
      </c>
    </row>
    <row r="187" spans="1:11" x14ac:dyDescent="0.2">
      <c r="A187" s="58"/>
      <c r="B187" s="9" t="s">
        <v>454</v>
      </c>
      <c r="C187" s="11" t="s">
        <v>413</v>
      </c>
      <c r="D187" s="9" t="s">
        <v>414</v>
      </c>
      <c r="E187" s="9">
        <v>33</v>
      </c>
      <c r="F187" s="11" t="s">
        <v>89</v>
      </c>
      <c r="G187" s="9" t="s">
        <v>93</v>
      </c>
      <c r="H187" s="10">
        <v>48.2</v>
      </c>
      <c r="I187" s="10">
        <v>0</v>
      </c>
      <c r="J187" s="10">
        <v>49.3</v>
      </c>
      <c r="K187" s="10">
        <v>90</v>
      </c>
    </row>
    <row r="188" spans="1:11" s="2" customFormat="1" x14ac:dyDescent="0.2">
      <c r="A188" s="58"/>
      <c r="B188" s="22" t="s">
        <v>453</v>
      </c>
      <c r="C188" s="21" t="s">
        <v>118</v>
      </c>
      <c r="D188" s="22" t="s">
        <v>119</v>
      </c>
      <c r="E188" s="22">
        <v>132</v>
      </c>
      <c r="F188" s="21" t="s">
        <v>428</v>
      </c>
      <c r="G188" s="22" t="s">
        <v>32</v>
      </c>
      <c r="H188" s="23">
        <v>48.2</v>
      </c>
      <c r="I188" s="23">
        <v>0</v>
      </c>
      <c r="J188" s="23">
        <v>49.3</v>
      </c>
      <c r="K188" s="23">
        <v>90</v>
      </c>
    </row>
    <row r="189" spans="1:11" x14ac:dyDescent="0.2">
      <c r="A189" s="58"/>
      <c r="B189" s="9" t="s">
        <v>453</v>
      </c>
      <c r="C189" s="11" t="s">
        <v>417</v>
      </c>
      <c r="D189" s="9" t="s">
        <v>418</v>
      </c>
      <c r="E189" s="9">
        <v>132</v>
      </c>
      <c r="F189" s="11" t="s">
        <v>427</v>
      </c>
      <c r="G189" s="9" t="s">
        <v>33</v>
      </c>
      <c r="H189" s="10">
        <v>48.2</v>
      </c>
      <c r="I189" s="10">
        <v>0</v>
      </c>
      <c r="J189" s="10">
        <v>49.3</v>
      </c>
      <c r="K189" s="10">
        <v>90</v>
      </c>
    </row>
    <row r="190" spans="1:11" x14ac:dyDescent="0.2">
      <c r="A190" s="58"/>
      <c r="B190" s="9" t="s">
        <v>421</v>
      </c>
      <c r="C190" s="11" t="s">
        <v>419</v>
      </c>
      <c r="D190" s="9" t="s">
        <v>420</v>
      </c>
      <c r="E190" s="9">
        <v>11</v>
      </c>
      <c r="F190" s="11" t="s">
        <v>90</v>
      </c>
      <c r="G190" s="9" t="s">
        <v>96</v>
      </c>
      <c r="H190" s="10">
        <v>48.2</v>
      </c>
      <c r="I190" s="10">
        <v>0</v>
      </c>
      <c r="J190" s="10">
        <v>49.3</v>
      </c>
      <c r="K190" s="10">
        <v>90</v>
      </c>
    </row>
    <row r="191" spans="1:11" x14ac:dyDescent="0.2">
      <c r="A191" s="58"/>
      <c r="B191" s="9" t="s">
        <v>421</v>
      </c>
      <c r="C191" s="11" t="s">
        <v>421</v>
      </c>
      <c r="D191" s="9" t="s">
        <v>324</v>
      </c>
      <c r="E191" s="9">
        <v>132</v>
      </c>
      <c r="F191" s="11" t="s">
        <v>426</v>
      </c>
      <c r="G191" s="9" t="s">
        <v>38</v>
      </c>
      <c r="H191" s="10">
        <v>48.2</v>
      </c>
      <c r="I191" s="10">
        <v>0</v>
      </c>
      <c r="J191" s="10">
        <v>49.3</v>
      </c>
      <c r="K191" s="10">
        <v>90</v>
      </c>
    </row>
    <row r="192" spans="1:11" x14ac:dyDescent="0.2">
      <c r="A192" s="56" t="e">
        <f>CONCATENATE("Stage 12: 48.1Hz " &amp; CHAR(10) &amp;"Total load: ",ROUND(SUM(#REF!),0),"MW")</f>
        <v>#REF!</v>
      </c>
      <c r="B192" s="6" t="s">
        <v>458</v>
      </c>
      <c r="C192" s="5" t="s">
        <v>300</v>
      </c>
      <c r="D192" s="6" t="s">
        <v>301</v>
      </c>
      <c r="E192" s="6">
        <v>11</v>
      </c>
      <c r="F192" s="5" t="s">
        <v>90</v>
      </c>
      <c r="G192" s="6" t="s">
        <v>96</v>
      </c>
      <c r="H192" s="7">
        <v>48.1</v>
      </c>
      <c r="I192" s="7">
        <v>0</v>
      </c>
      <c r="J192" s="7">
        <v>49.3</v>
      </c>
      <c r="K192" s="7">
        <v>60</v>
      </c>
    </row>
    <row r="193" spans="1:11" x14ac:dyDescent="0.2">
      <c r="A193" s="56"/>
      <c r="B193" s="6" t="s">
        <v>101</v>
      </c>
      <c r="C193" s="5" t="s">
        <v>429</v>
      </c>
      <c r="D193" s="6" t="s">
        <v>430</v>
      </c>
      <c r="E193" s="6">
        <v>33</v>
      </c>
      <c r="F193" s="5" t="s">
        <v>91</v>
      </c>
      <c r="G193" s="6" t="s">
        <v>446</v>
      </c>
      <c r="H193" s="7">
        <v>48.1</v>
      </c>
      <c r="I193" s="7">
        <v>0</v>
      </c>
      <c r="J193" s="7">
        <v>49.3</v>
      </c>
      <c r="K193" s="7">
        <v>60</v>
      </c>
    </row>
    <row r="194" spans="1:11" x14ac:dyDescent="0.2">
      <c r="A194" s="56"/>
      <c r="B194" s="6" t="s">
        <v>39</v>
      </c>
      <c r="C194" s="5" t="s">
        <v>431</v>
      </c>
      <c r="D194" s="6" t="s">
        <v>432</v>
      </c>
      <c r="E194" s="6">
        <v>33</v>
      </c>
      <c r="F194" s="5" t="s">
        <v>91</v>
      </c>
      <c r="G194" s="8" t="s">
        <v>97</v>
      </c>
      <c r="H194" s="7">
        <v>48.1</v>
      </c>
      <c r="I194" s="7">
        <v>0</v>
      </c>
      <c r="J194" s="7">
        <v>49.3</v>
      </c>
      <c r="K194" s="7">
        <v>60</v>
      </c>
    </row>
    <row r="195" spans="1:11" ht="16" x14ac:dyDescent="0.2">
      <c r="A195" s="56"/>
      <c r="B195" s="6" t="s">
        <v>39</v>
      </c>
      <c r="C195" s="5" t="s">
        <v>441</v>
      </c>
      <c r="D195" s="6" t="s">
        <v>442</v>
      </c>
      <c r="E195" s="6">
        <v>33</v>
      </c>
      <c r="F195" s="24" t="s">
        <v>89</v>
      </c>
      <c r="G195" s="6" t="s">
        <v>179</v>
      </c>
      <c r="H195" s="7">
        <v>48.1</v>
      </c>
      <c r="I195" s="7">
        <v>0</v>
      </c>
      <c r="J195" s="7">
        <v>49.3</v>
      </c>
      <c r="K195" s="7">
        <v>60</v>
      </c>
    </row>
    <row r="196" spans="1:11" x14ac:dyDescent="0.2">
      <c r="A196" s="56"/>
      <c r="B196" s="6" t="s">
        <v>452</v>
      </c>
      <c r="C196" s="5" t="s">
        <v>435</v>
      </c>
      <c r="D196" s="6" t="s">
        <v>436</v>
      </c>
      <c r="E196" s="6">
        <v>33</v>
      </c>
      <c r="F196" s="5" t="s">
        <v>89</v>
      </c>
      <c r="G196" s="8" t="s">
        <v>93</v>
      </c>
      <c r="H196" s="7">
        <v>48.1</v>
      </c>
      <c r="I196" s="7">
        <v>0</v>
      </c>
      <c r="J196" s="7">
        <v>49.3</v>
      </c>
      <c r="K196" s="7">
        <v>60</v>
      </c>
    </row>
    <row r="197" spans="1:11" x14ac:dyDescent="0.2">
      <c r="A197" s="56"/>
      <c r="B197" s="6" t="s">
        <v>457</v>
      </c>
      <c r="C197" s="5" t="s">
        <v>437</v>
      </c>
      <c r="D197" s="6" t="s">
        <v>438</v>
      </c>
      <c r="E197" s="6">
        <v>11</v>
      </c>
      <c r="F197" s="5" t="s">
        <v>90</v>
      </c>
      <c r="G197" s="6" t="s">
        <v>96</v>
      </c>
      <c r="H197" s="7">
        <v>48.1</v>
      </c>
      <c r="I197" s="7">
        <v>0</v>
      </c>
      <c r="J197" s="7">
        <v>49.3</v>
      </c>
      <c r="K197" s="7">
        <v>60</v>
      </c>
    </row>
    <row r="198" spans="1:11" x14ac:dyDescent="0.2">
      <c r="A198" s="56"/>
      <c r="B198" s="6" t="s">
        <v>457</v>
      </c>
      <c r="C198" s="5" t="s">
        <v>437</v>
      </c>
      <c r="D198" s="6" t="s">
        <v>438</v>
      </c>
      <c r="E198" s="6">
        <v>132</v>
      </c>
      <c r="F198" s="5" t="s">
        <v>445</v>
      </c>
      <c r="G198" s="8">
        <v>505605705</v>
      </c>
      <c r="H198" s="7">
        <v>48.1</v>
      </c>
      <c r="I198" s="7">
        <v>0</v>
      </c>
      <c r="J198" s="7">
        <v>49.3</v>
      </c>
      <c r="K198" s="7">
        <v>60</v>
      </c>
    </row>
    <row r="199" spans="1:11" x14ac:dyDescent="0.2">
      <c r="A199" s="56"/>
      <c r="B199" s="6" t="s">
        <v>453</v>
      </c>
      <c r="C199" s="5" t="s">
        <v>439</v>
      </c>
      <c r="D199" s="6" t="s">
        <v>440</v>
      </c>
      <c r="E199" s="6">
        <v>11</v>
      </c>
      <c r="F199" s="5" t="s">
        <v>90</v>
      </c>
      <c r="G199" s="8" t="s">
        <v>96</v>
      </c>
      <c r="H199" s="7">
        <v>48.1</v>
      </c>
      <c r="I199" s="7">
        <v>0</v>
      </c>
      <c r="J199" s="7">
        <v>49.3</v>
      </c>
      <c r="K199" s="7">
        <v>60</v>
      </c>
    </row>
    <row r="200" spans="1:11" x14ac:dyDescent="0.2">
      <c r="A200" s="56"/>
      <c r="B200" s="6" t="s">
        <v>453</v>
      </c>
      <c r="C200" s="5" t="s">
        <v>433</v>
      </c>
      <c r="D200" s="6" t="s">
        <v>434</v>
      </c>
      <c r="E200" s="6">
        <v>22</v>
      </c>
      <c r="F200" s="5" t="s">
        <v>88</v>
      </c>
      <c r="G200" s="8" t="s">
        <v>93</v>
      </c>
      <c r="H200" s="7">
        <v>48.1</v>
      </c>
      <c r="I200" s="7">
        <v>0</v>
      </c>
      <c r="J200" s="7">
        <v>49.3</v>
      </c>
      <c r="K200" s="7">
        <v>60</v>
      </c>
    </row>
    <row r="201" spans="1:11" x14ac:dyDescent="0.2">
      <c r="A201" s="56"/>
      <c r="B201" s="6" t="s">
        <v>421</v>
      </c>
      <c r="C201" s="5" t="s">
        <v>379</v>
      </c>
      <c r="D201" s="6" t="s">
        <v>380</v>
      </c>
      <c r="E201" s="6">
        <v>132</v>
      </c>
      <c r="F201" s="5" t="s">
        <v>447</v>
      </c>
      <c r="G201" s="6" t="s">
        <v>38</v>
      </c>
      <c r="H201" s="7">
        <v>48.1</v>
      </c>
      <c r="I201" s="7">
        <v>0</v>
      </c>
      <c r="J201" s="7">
        <v>49.3</v>
      </c>
      <c r="K201" s="7">
        <v>60</v>
      </c>
    </row>
    <row r="202" spans="1:11" x14ac:dyDescent="0.2">
      <c r="A202" s="56"/>
      <c r="B202" s="6" t="s">
        <v>456</v>
      </c>
      <c r="C202" s="5" t="s">
        <v>443</v>
      </c>
      <c r="D202" s="6" t="s">
        <v>444</v>
      </c>
      <c r="E202" s="6">
        <v>132</v>
      </c>
      <c r="F202" s="5" t="s">
        <v>448</v>
      </c>
      <c r="G202" s="6" t="s">
        <v>144</v>
      </c>
      <c r="H202" s="7">
        <v>48.1</v>
      </c>
      <c r="I202" s="7">
        <v>0</v>
      </c>
      <c r="J202" s="7">
        <v>49.3</v>
      </c>
      <c r="K202" s="7">
        <v>60</v>
      </c>
    </row>
  </sheetData>
  <autoFilter ref="A2:K202" xr:uid="{722A4A62-F3D1-4577-AFDB-10AA26B12C9A}"/>
  <mergeCells count="14">
    <mergeCell ref="A1:K1"/>
    <mergeCell ref="A3:A16"/>
    <mergeCell ref="A17:A37"/>
    <mergeCell ref="A38:A56"/>
    <mergeCell ref="A57:A73"/>
    <mergeCell ref="A167:A180"/>
    <mergeCell ref="A181:A191"/>
    <mergeCell ref="A192:A202"/>
    <mergeCell ref="A74:A86"/>
    <mergeCell ref="A87:A100"/>
    <mergeCell ref="A101:A118"/>
    <mergeCell ref="A119:A138"/>
    <mergeCell ref="A139:A154"/>
    <mergeCell ref="A155:A16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22E04B9AB924F9226EB762FE2A881" ma:contentTypeVersion="14" ma:contentTypeDescription="Create a new document." ma:contentTypeScope="" ma:versionID="a36f8c84695dee3dcc516b42a9566f51">
  <xsd:schema xmlns:xsd="http://www.w3.org/2001/XMLSchema" xmlns:xs="http://www.w3.org/2001/XMLSchema" xmlns:p="http://schemas.microsoft.com/office/2006/metadata/properties" xmlns:ns2="31d63efc-ae5a-44ca-9708-c7f327fe5e26" xmlns:ns3="f6105ce0-51a2-4f49-8f23-53f28ed91683" targetNamespace="http://schemas.microsoft.com/office/2006/metadata/properties" ma:root="true" ma:fieldsID="fe6b71b6cd593cde715bd1824009fa61" ns2:_="" ns3:_="">
    <xsd:import namespace="31d63efc-ae5a-44ca-9708-c7f327fe5e26"/>
    <xsd:import namespace="f6105ce0-51a2-4f49-8f23-53f28ed91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63efc-ae5a-44ca-9708-c7f327fe5e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fc1b663-3d84-4bab-b48e-8dc04a24c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05ce0-51a2-4f49-8f23-53f28ed9168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21adc0-3274-4b2c-aaf7-deeb0efa69d2}" ma:internalName="TaxCatchAll" ma:showField="CatchAllData" ma:web="f6105ce0-51a2-4f49-8f23-53f28ed91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105ce0-51a2-4f49-8f23-53f28ed91683" xsi:nil="true"/>
    <lcf76f155ced4ddcb4097134ff3c332f xmlns="31d63efc-ae5a-44ca-9708-c7f327fe5e26">
      <Terms xmlns="http://schemas.microsoft.com/office/infopath/2007/PartnerControls"/>
    </lcf76f155ced4ddcb4097134ff3c332f>
    <_Flow_SignoffStatus xmlns="31d63efc-ae5a-44ca-9708-c7f327fe5e26" xsi:nil="true"/>
  </documentManagement>
</p:properties>
</file>

<file path=customXml/itemProps1.xml><?xml version="1.0" encoding="utf-8"?>
<ds:datastoreItem xmlns:ds="http://schemas.openxmlformats.org/officeDocument/2006/customXml" ds:itemID="{C674EA4A-AC63-4D7F-99E0-CD6D89F74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63efc-ae5a-44ca-9708-c7f327fe5e26"/>
    <ds:schemaRef ds:uri="f6105ce0-51a2-4f49-8f23-53f28ed91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B799BE-A4C5-4628-8C33-715ECB0073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7713DC-236F-40BD-86A0-1B587A3896F6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6105ce0-51a2-4f49-8f23-53f28ed91683"/>
    <ds:schemaRef ds:uri="31d63efc-ae5a-44ca-9708-c7f327fe5e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UFLS</vt:lpstr>
      <vt:lpstr>UFLS!Print_Titles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cp:lastPrinted>2024-07-29T01:49:06Z</cp:lastPrinted>
  <dcterms:created xsi:type="dcterms:W3CDTF">2024-07-16T07:41:43Z</dcterms:created>
  <dcterms:modified xsi:type="dcterms:W3CDTF">2026-03-25T12:45:16Z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0x0101007BD22E04B9AB924F9226EB762FE2A881</vt:lpwstr>
  </property>
  <property fmtid="{D5CDD505-2E9C-101B-9397-08002B2CF9AE}" pid="3" name="MediaServiceImageTags">
    <vt:lpwstr/>
  </property>
</Properties>
</file>